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neidi\Desktop\"/>
    </mc:Choice>
  </mc:AlternateContent>
  <bookViews>
    <workbookView xWindow="0" yWindow="0" windowWidth="20490" windowHeight="7635"/>
  </bookViews>
  <sheets>
    <sheet name="STOCK" sheetId="1" r:id="rId1"/>
    <sheet name="ENTRADAS" sheetId="4" r:id="rId2"/>
    <sheet name="SALIDAS" sheetId="3" r:id="rId3"/>
    <sheet name="Hoja2" sheetId="5" r:id="rId4"/>
  </sheets>
  <definedNames>
    <definedName name="_xlnm._FilterDatabase" localSheetId="0" hidden="1">STOCK!$A$2:$A$282</definedName>
    <definedName name="CATEGORIAS">Hoja2!$A$27:$A$34</definedName>
    <definedName name="CTRL">Hoja2!$B$27:$B$34</definedName>
    <definedName name="ELECTRICIDAD">Hoja2!$D$27:$D$34</definedName>
    <definedName name="ESPECIAL">Hoja2!$C$27:$C$34</definedName>
    <definedName name="GENERAL">Hoja2!$E$27:$E$34</definedName>
    <definedName name="MECANICO">Hoja2!$F$27:$F$34</definedName>
    <definedName name="SERVICIOS">Hoja2!$G$27:$G$34</definedName>
    <definedName name="SOLDADURA">Hoja2!$H$27:$H$34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4" l="1"/>
  <c r="D4" i="4"/>
  <c r="D3" i="3" l="1"/>
  <c r="F3" i="3"/>
  <c r="G142" i="1" l="1"/>
  <c r="G146" i="1"/>
  <c r="G150" i="1"/>
  <c r="G141" i="1"/>
  <c r="G145" i="1"/>
  <c r="G149" i="1"/>
  <c r="G147" i="1"/>
  <c r="G144" i="1"/>
  <c r="G148" i="1"/>
  <c r="G143" i="1"/>
  <c r="G280" i="1"/>
  <c r="G281" i="1"/>
  <c r="G282" i="1"/>
  <c r="G278" i="1"/>
  <c r="G279" i="1"/>
  <c r="G276" i="1"/>
  <c r="G277" i="1"/>
  <c r="G274" i="1"/>
  <c r="G275" i="1"/>
  <c r="G272" i="1"/>
  <c r="G273" i="1"/>
  <c r="G270" i="1"/>
  <c r="G271" i="1"/>
  <c r="G268" i="1"/>
  <c r="G269" i="1"/>
  <c r="G266" i="1"/>
  <c r="G267" i="1"/>
  <c r="G264" i="1"/>
  <c r="G265" i="1"/>
  <c r="G262" i="1"/>
  <c r="G263" i="1"/>
  <c r="G260" i="1"/>
  <c r="G261" i="1"/>
  <c r="G258" i="1"/>
  <c r="G259" i="1"/>
  <c r="G256" i="1"/>
  <c r="G257" i="1"/>
  <c r="G254" i="1"/>
  <c r="G255" i="1"/>
  <c r="G252" i="1"/>
  <c r="G253" i="1"/>
  <c r="G250" i="1"/>
  <c r="G251" i="1"/>
  <c r="G248" i="1"/>
  <c r="G249" i="1"/>
  <c r="G246" i="1"/>
  <c r="G247" i="1"/>
  <c r="G244" i="1"/>
  <c r="G245" i="1"/>
  <c r="G242" i="1"/>
  <c r="G243" i="1"/>
  <c r="G113" i="1"/>
  <c r="G112" i="1"/>
  <c r="G44" i="1"/>
  <c r="G17" i="1"/>
  <c r="G52" i="1"/>
  <c r="G39" i="1"/>
  <c r="G50" i="1"/>
  <c r="G42" i="1"/>
  <c r="G41" i="1"/>
  <c r="G40" i="1"/>
  <c r="G43" i="1"/>
  <c r="G38" i="1"/>
  <c r="G20" i="1"/>
  <c r="G131" i="1"/>
  <c r="G172" i="1"/>
  <c r="G154" i="1"/>
  <c r="G203" i="1"/>
  <c r="G134" i="1"/>
  <c r="G115" i="1"/>
  <c r="G114" i="1"/>
  <c r="G152" i="1"/>
  <c r="G5" i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F141" i="1" l="1"/>
  <c r="J141" i="1" s="1"/>
  <c r="F147" i="1"/>
  <c r="J147" i="1" s="1"/>
  <c r="F149" i="1"/>
  <c r="J149" i="1" s="1"/>
  <c r="F142" i="1"/>
  <c r="J142" i="1" s="1"/>
  <c r="F144" i="1"/>
  <c r="J144" i="1" s="1"/>
  <c r="F150" i="1"/>
  <c r="J150" i="1" s="1"/>
  <c r="F143" i="1"/>
  <c r="J143" i="1" s="1"/>
  <c r="F145" i="1"/>
  <c r="J145" i="1" s="1"/>
  <c r="F146" i="1"/>
  <c r="J146" i="1" s="1"/>
  <c r="F148" i="1"/>
  <c r="J148" i="1" s="1"/>
  <c r="F281" i="1"/>
  <c r="J281" i="1" s="1"/>
  <c r="F282" i="1"/>
  <c r="J282" i="1" s="1"/>
  <c r="F280" i="1"/>
  <c r="J280" i="1" s="1"/>
  <c r="F279" i="1"/>
  <c r="J279" i="1" s="1"/>
  <c r="F278" i="1"/>
  <c r="J278" i="1" s="1"/>
  <c r="F277" i="1"/>
  <c r="J277" i="1" s="1"/>
  <c r="F276" i="1"/>
  <c r="J276" i="1" s="1"/>
  <c r="F275" i="1"/>
  <c r="J275" i="1" s="1"/>
  <c r="F274" i="1"/>
  <c r="J274" i="1" s="1"/>
  <c r="F273" i="1"/>
  <c r="J273" i="1" s="1"/>
  <c r="F272" i="1"/>
  <c r="J272" i="1" s="1"/>
  <c r="F271" i="1"/>
  <c r="J271" i="1" s="1"/>
  <c r="F270" i="1"/>
  <c r="J270" i="1" s="1"/>
  <c r="F269" i="1"/>
  <c r="J269" i="1" s="1"/>
  <c r="F268" i="1"/>
  <c r="J268" i="1" s="1"/>
  <c r="F267" i="1"/>
  <c r="J267" i="1" s="1"/>
  <c r="F266" i="1"/>
  <c r="J266" i="1" s="1"/>
  <c r="F265" i="1"/>
  <c r="J265" i="1" s="1"/>
  <c r="F264" i="1"/>
  <c r="J264" i="1" s="1"/>
  <c r="F263" i="1"/>
  <c r="J263" i="1" s="1"/>
  <c r="F262" i="1"/>
  <c r="J262" i="1" s="1"/>
  <c r="F261" i="1"/>
  <c r="J261" i="1" s="1"/>
  <c r="F260" i="1"/>
  <c r="J260" i="1" s="1"/>
  <c r="F259" i="1"/>
  <c r="J259" i="1" s="1"/>
  <c r="F258" i="1"/>
  <c r="J258" i="1" s="1"/>
  <c r="F257" i="1"/>
  <c r="J257" i="1" s="1"/>
  <c r="F256" i="1"/>
  <c r="J256" i="1" s="1"/>
  <c r="F255" i="1"/>
  <c r="J255" i="1" s="1"/>
  <c r="F254" i="1"/>
  <c r="J254" i="1" s="1"/>
  <c r="F253" i="1"/>
  <c r="J253" i="1" s="1"/>
  <c r="F252" i="1"/>
  <c r="J252" i="1" s="1"/>
  <c r="F251" i="1"/>
  <c r="J251" i="1" s="1"/>
  <c r="F250" i="1"/>
  <c r="J250" i="1" s="1"/>
  <c r="F249" i="1"/>
  <c r="J249" i="1" s="1"/>
  <c r="F248" i="1"/>
  <c r="J248" i="1" s="1"/>
  <c r="F247" i="1"/>
  <c r="J247" i="1" s="1"/>
  <c r="F246" i="1"/>
  <c r="J246" i="1" s="1"/>
  <c r="F245" i="1"/>
  <c r="J245" i="1" s="1"/>
  <c r="F244" i="1"/>
  <c r="J244" i="1" s="1"/>
  <c r="F243" i="1"/>
  <c r="J243" i="1" s="1"/>
  <c r="F242" i="1"/>
  <c r="J242" i="1" s="1"/>
  <c r="F112" i="1"/>
  <c r="J112" i="1" s="1"/>
  <c r="F113" i="1"/>
  <c r="J113" i="1" s="1"/>
  <c r="F17" i="1"/>
  <c r="J17" i="1" s="1"/>
  <c r="F44" i="1"/>
  <c r="J44" i="1" s="1"/>
  <c r="F39" i="1"/>
  <c r="J39" i="1" s="1"/>
  <c r="F52" i="1"/>
  <c r="J52" i="1" s="1"/>
  <c r="F42" i="1"/>
  <c r="J42" i="1" s="1"/>
  <c r="F50" i="1"/>
  <c r="J50" i="1" s="1"/>
  <c r="F40" i="1"/>
  <c r="J40" i="1" s="1"/>
  <c r="F41" i="1"/>
  <c r="J41" i="1" s="1"/>
  <c r="F38" i="1"/>
  <c r="J38" i="1" s="1"/>
  <c r="F43" i="1"/>
  <c r="J43" i="1" s="1"/>
  <c r="F131" i="1"/>
  <c r="J131" i="1" s="1"/>
  <c r="F20" i="1"/>
  <c r="J20" i="1" s="1"/>
  <c r="F154" i="1"/>
  <c r="J154" i="1" s="1"/>
  <c r="F172" i="1"/>
  <c r="J172" i="1" s="1"/>
  <c r="F203" i="1"/>
  <c r="J203" i="1" s="1"/>
  <c r="F134" i="1"/>
  <c r="J134" i="1" s="1"/>
  <c r="F114" i="1"/>
  <c r="J114" i="1" s="1"/>
  <c r="F115" i="1"/>
  <c r="J115" i="1" s="1"/>
  <c r="F5" i="1"/>
  <c r="J5" i="1" s="1"/>
  <c r="F152" i="1"/>
  <c r="J152" i="1" s="1"/>
  <c r="F49" i="1"/>
  <c r="G49" i="1"/>
  <c r="F72" i="1"/>
  <c r="G72" i="1"/>
  <c r="F241" i="1"/>
  <c r="G241" i="1"/>
  <c r="G51" i="1"/>
  <c r="F51" i="1"/>
  <c r="F48" i="1"/>
  <c r="G48" i="1"/>
  <c r="F85" i="1"/>
  <c r="G85" i="1"/>
  <c r="G234" i="1"/>
  <c r="F234" i="1"/>
  <c r="F36" i="1"/>
  <c r="G36" i="1"/>
  <c r="F35" i="1"/>
  <c r="G35" i="1"/>
  <c r="F37" i="1"/>
  <c r="G37" i="1"/>
  <c r="F54" i="1"/>
  <c r="G54" i="1"/>
  <c r="F194" i="1"/>
  <c r="G194" i="1"/>
  <c r="F200" i="1"/>
  <c r="G200" i="1"/>
  <c r="F175" i="1"/>
  <c r="G175" i="1"/>
  <c r="F218" i="1"/>
  <c r="G218" i="1"/>
  <c r="F229" i="1"/>
  <c r="G229" i="1"/>
  <c r="F77" i="1"/>
  <c r="G77" i="1"/>
  <c r="F76" i="1"/>
  <c r="G30" i="1"/>
  <c r="G76" i="1"/>
  <c r="F30" i="1"/>
  <c r="F31" i="1"/>
  <c r="G31" i="1"/>
  <c r="F34" i="1"/>
  <c r="G34" i="1"/>
  <c r="F32" i="1"/>
  <c r="G32" i="1"/>
  <c r="F33" i="1"/>
  <c r="G33" i="1"/>
  <c r="G206" i="1"/>
  <c r="F206" i="1"/>
  <c r="F24" i="1"/>
  <c r="G24" i="1"/>
  <c r="F23" i="1"/>
  <c r="G23" i="1"/>
  <c r="F155" i="1"/>
  <c r="G155" i="1"/>
  <c r="F157" i="1"/>
  <c r="G157" i="1"/>
  <c r="G230" i="1"/>
  <c r="F230" i="1"/>
  <c r="F162" i="1"/>
  <c r="G162" i="1"/>
  <c r="F69" i="1"/>
  <c r="G69" i="1"/>
  <c r="F67" i="1"/>
  <c r="G67" i="1"/>
  <c r="F66" i="1"/>
  <c r="G66" i="1"/>
  <c r="F209" i="1"/>
  <c r="G209" i="1"/>
  <c r="F56" i="1"/>
  <c r="G56" i="1"/>
  <c r="F55" i="1"/>
  <c r="G55" i="1"/>
  <c r="F91" i="1"/>
  <c r="G91" i="1"/>
  <c r="F6" i="1"/>
  <c r="G6" i="1"/>
  <c r="F79" i="1"/>
  <c r="G79" i="1"/>
  <c r="G235" i="1"/>
  <c r="F235" i="1"/>
  <c r="F83" i="1"/>
  <c r="G83" i="1"/>
  <c r="F84" i="1"/>
  <c r="G84" i="1"/>
  <c r="F45" i="1"/>
  <c r="G45" i="1"/>
  <c r="F46" i="1"/>
  <c r="G46" i="1"/>
  <c r="F181" i="1"/>
  <c r="G181" i="1"/>
  <c r="G236" i="1"/>
  <c r="F236" i="1"/>
  <c r="F11" i="1"/>
  <c r="G11" i="1"/>
  <c r="F233" i="1"/>
  <c r="G233" i="1"/>
  <c r="F238" i="1"/>
  <c r="G238" i="1"/>
  <c r="G166" i="1"/>
  <c r="F166" i="1"/>
  <c r="G95" i="1"/>
  <c r="F95" i="1"/>
  <c r="G94" i="1"/>
  <c r="F94" i="1"/>
  <c r="G64" i="1"/>
  <c r="F64" i="1"/>
  <c r="F213" i="1"/>
  <c r="G213" i="1"/>
  <c r="F239" i="1"/>
  <c r="G239" i="1"/>
  <c r="F15" i="1"/>
  <c r="G15" i="1"/>
  <c r="F57" i="1"/>
  <c r="G57" i="1"/>
  <c r="G62" i="1"/>
  <c r="F62" i="1"/>
  <c r="G26" i="1"/>
  <c r="F26" i="1"/>
  <c r="F53" i="1"/>
  <c r="G53" i="1"/>
  <c r="F217" i="1"/>
  <c r="G217" i="1"/>
  <c r="G63" i="1"/>
  <c r="F63" i="1"/>
  <c r="G171" i="1"/>
  <c r="F171" i="1"/>
  <c r="F82" i="1"/>
  <c r="G82" i="1"/>
  <c r="F237" i="1"/>
  <c r="G237" i="1"/>
  <c r="F75" i="1"/>
  <c r="G75" i="1"/>
  <c r="G88" i="1"/>
  <c r="F88" i="1"/>
  <c r="F97" i="1"/>
  <c r="G97" i="1"/>
  <c r="F109" i="1"/>
  <c r="G109" i="1"/>
  <c r="F96" i="1"/>
  <c r="G96" i="1"/>
  <c r="F100" i="1"/>
  <c r="G100" i="1"/>
  <c r="F106" i="1"/>
  <c r="G106" i="1"/>
  <c r="F110" i="1"/>
  <c r="G110" i="1"/>
  <c r="G101" i="1"/>
  <c r="F101" i="1"/>
  <c r="G98" i="1"/>
  <c r="G104" i="1"/>
  <c r="F104" i="1"/>
  <c r="F98" i="1"/>
  <c r="F108" i="1"/>
  <c r="G108" i="1"/>
  <c r="F107" i="1"/>
  <c r="G107" i="1"/>
  <c r="F111" i="1"/>
  <c r="G111" i="1"/>
  <c r="F105" i="1"/>
  <c r="F103" i="1"/>
  <c r="G102" i="1"/>
  <c r="G105" i="1"/>
  <c r="G103" i="1"/>
  <c r="F102" i="1"/>
  <c r="F99" i="1"/>
  <c r="G99" i="1"/>
  <c r="F186" i="1"/>
  <c r="F184" i="1"/>
  <c r="G184" i="1"/>
  <c r="G186" i="1"/>
  <c r="F190" i="1"/>
  <c r="G190" i="1"/>
  <c r="F222" i="1"/>
  <c r="G222" i="1"/>
  <c r="F223" i="1"/>
  <c r="G224" i="1"/>
  <c r="G223" i="1"/>
  <c r="F224" i="1"/>
  <c r="F225" i="1"/>
  <c r="G225" i="1"/>
  <c r="F226" i="1"/>
  <c r="G226" i="1"/>
  <c r="F220" i="1"/>
  <c r="F227" i="1"/>
  <c r="G227" i="1"/>
  <c r="G221" i="1"/>
  <c r="G220" i="1"/>
  <c r="F221" i="1"/>
  <c r="F74" i="1"/>
  <c r="G74" i="1"/>
  <c r="F70" i="1"/>
  <c r="G70" i="1"/>
  <c r="G71" i="1"/>
  <c r="F71" i="1"/>
  <c r="F158" i="1"/>
  <c r="G158" i="1"/>
  <c r="F137" i="1"/>
  <c r="G137" i="1"/>
  <c r="F201" i="1"/>
  <c r="G201" i="1"/>
  <c r="F4" i="1"/>
  <c r="G4" i="1"/>
  <c r="F122" i="1"/>
  <c r="G122" i="1"/>
  <c r="F120" i="1"/>
  <c r="G120" i="1"/>
  <c r="G117" i="1"/>
  <c r="F117" i="1"/>
  <c r="F192" i="1"/>
  <c r="F14" i="1"/>
  <c r="F182" i="1"/>
  <c r="F3" i="1"/>
  <c r="F176" i="1"/>
  <c r="F161" i="1"/>
  <c r="F199" i="1"/>
  <c r="F167" i="1"/>
  <c r="F159" i="1"/>
  <c r="F135" i="1"/>
  <c r="F127" i="1"/>
  <c r="F123" i="1"/>
  <c r="F116" i="1"/>
  <c r="F73" i="1"/>
  <c r="F59" i="1"/>
  <c r="F61" i="1"/>
  <c r="F78" i="1"/>
  <c r="F29" i="1"/>
  <c r="F22" i="1"/>
  <c r="F215" i="1"/>
  <c r="F205" i="1"/>
  <c r="F188" i="1"/>
  <c r="F178" i="1"/>
  <c r="F170" i="1"/>
  <c r="F138" i="1"/>
  <c r="F129" i="1"/>
  <c r="F118" i="1"/>
  <c r="F47" i="1"/>
  <c r="F92" i="1"/>
  <c r="F211" i="1"/>
  <c r="F187" i="1"/>
  <c r="F231" i="1"/>
  <c r="F228" i="1"/>
  <c r="F207" i="1"/>
  <c r="F204" i="1"/>
  <c r="F197" i="1"/>
  <c r="F189" i="1"/>
  <c r="F195" i="1"/>
  <c r="F240" i="1"/>
  <c r="F198" i="1"/>
  <c r="F163" i="1"/>
  <c r="F164" i="1"/>
  <c r="F156" i="1"/>
  <c r="F153" i="1"/>
  <c r="F7" i="1"/>
  <c r="F133" i="1"/>
  <c r="F130" i="1"/>
  <c r="F126" i="1"/>
  <c r="F121" i="1"/>
  <c r="F90" i="1"/>
  <c r="F80" i="1"/>
  <c r="F68" i="1"/>
  <c r="F87" i="1"/>
  <c r="F28" i="1"/>
  <c r="F25" i="1"/>
  <c r="F13" i="1"/>
  <c r="J8" i="1"/>
  <c r="F18" i="1"/>
  <c r="F214" i="1"/>
  <c r="F177" i="1"/>
  <c r="F191" i="1"/>
  <c r="F185" i="1"/>
  <c r="F165" i="1"/>
  <c r="F169" i="1"/>
  <c r="F139" i="1"/>
  <c r="F128" i="1"/>
  <c r="F124" i="1"/>
  <c r="F81" i="1"/>
  <c r="F65" i="1"/>
  <c r="F21" i="1"/>
  <c r="F232" i="1"/>
  <c r="F219" i="1"/>
  <c r="F208" i="1"/>
  <c r="F216" i="1"/>
  <c r="F212" i="1"/>
  <c r="F210" i="1"/>
  <c r="F202" i="1"/>
  <c r="F193" i="1"/>
  <c r="F180" i="1"/>
  <c r="F179" i="1"/>
  <c r="F183" i="1"/>
  <c r="F174" i="1"/>
  <c r="F173" i="1"/>
  <c r="F168" i="1"/>
  <c r="F160" i="1"/>
  <c r="F151" i="1"/>
  <c r="F140" i="1"/>
  <c r="F196" i="1"/>
  <c r="F136" i="1"/>
  <c r="F132" i="1"/>
  <c r="F125" i="1"/>
  <c r="F119" i="1"/>
  <c r="F89" i="1"/>
  <c r="F86" i="1"/>
  <c r="F93" i="1"/>
  <c r="F58" i="1"/>
  <c r="F60" i="1"/>
  <c r="F16" i="1"/>
  <c r="F12" i="1"/>
  <c r="G9" i="1"/>
  <c r="G169" i="1"/>
  <c r="G138" i="1"/>
  <c r="G205" i="1"/>
  <c r="G118" i="1"/>
  <c r="G185" i="1"/>
  <c r="G92" i="1"/>
  <c r="G18" i="1"/>
  <c r="G177" i="1"/>
  <c r="G178" i="1"/>
  <c r="G128" i="1"/>
  <c r="G81" i="1"/>
  <c r="G21" i="1"/>
  <c r="G215" i="1"/>
  <c r="G188" i="1"/>
  <c r="G165" i="1"/>
  <c r="G129" i="1"/>
  <c r="G47" i="1"/>
  <c r="G214" i="1"/>
  <c r="G191" i="1"/>
  <c r="G170" i="1"/>
  <c r="G139" i="1"/>
  <c r="G124" i="1"/>
  <c r="G65" i="1"/>
  <c r="G14" i="1"/>
  <c r="G232" i="1"/>
  <c r="G219" i="1"/>
  <c r="G211" i="1"/>
  <c r="G208" i="1"/>
  <c r="G192" i="1"/>
  <c r="G187" i="1"/>
  <c r="G182" i="1"/>
  <c r="G3" i="1"/>
  <c r="G176" i="1"/>
  <c r="G161" i="1"/>
  <c r="G199" i="1"/>
  <c r="G167" i="1"/>
  <c r="G159" i="1"/>
  <c r="G135" i="1"/>
  <c r="G127" i="1"/>
  <c r="G123" i="1"/>
  <c r="G116" i="1"/>
  <c r="G73" i="1"/>
  <c r="G59" i="1"/>
  <c r="G61" i="1"/>
  <c r="G78" i="1"/>
  <c r="G29" i="1"/>
  <c r="G22" i="1"/>
  <c r="G231" i="1"/>
  <c r="G228" i="1"/>
  <c r="G207" i="1"/>
  <c r="G204" i="1"/>
  <c r="G197" i="1"/>
  <c r="G189" i="1"/>
  <c r="G195" i="1"/>
  <c r="G240" i="1"/>
  <c r="G198" i="1"/>
  <c r="G163" i="1"/>
  <c r="G164" i="1"/>
  <c r="G156" i="1"/>
  <c r="G153" i="1"/>
  <c r="G7" i="1"/>
  <c r="G133" i="1"/>
  <c r="G130" i="1"/>
  <c r="G126" i="1"/>
  <c r="G121" i="1"/>
  <c r="G90" i="1"/>
  <c r="G80" i="1"/>
  <c r="G68" i="1"/>
  <c r="G87" i="1"/>
  <c r="G28" i="1"/>
  <c r="G25" i="1"/>
  <c r="G13" i="1"/>
  <c r="G216" i="1"/>
  <c r="G212" i="1"/>
  <c r="G210" i="1"/>
  <c r="G202" i="1"/>
  <c r="G193" i="1"/>
  <c r="G180" i="1"/>
  <c r="G179" i="1"/>
  <c r="G183" i="1"/>
  <c r="G174" i="1"/>
  <c r="G173" i="1"/>
  <c r="G168" i="1"/>
  <c r="G160" i="1"/>
  <c r="G151" i="1"/>
  <c r="G140" i="1"/>
  <c r="G196" i="1"/>
  <c r="G136" i="1"/>
  <c r="G132" i="1"/>
  <c r="G125" i="1"/>
  <c r="G119" i="1"/>
  <c r="G89" i="1"/>
  <c r="G86" i="1"/>
  <c r="G93" i="1"/>
  <c r="G58" i="1"/>
  <c r="G60" i="1"/>
  <c r="G16" i="1"/>
  <c r="G12" i="1"/>
  <c r="J51" i="1" l="1"/>
  <c r="J234" i="1"/>
  <c r="J49" i="1"/>
  <c r="J72" i="1"/>
  <c r="J241" i="1"/>
  <c r="J85" i="1"/>
  <c r="J48" i="1"/>
  <c r="J36" i="1"/>
  <c r="J35" i="1"/>
  <c r="J37" i="1"/>
  <c r="J54" i="1"/>
  <c r="J200" i="1"/>
  <c r="J194" i="1"/>
  <c r="J175" i="1"/>
  <c r="J218" i="1"/>
  <c r="J229" i="1"/>
  <c r="J30" i="1"/>
  <c r="J77" i="1"/>
  <c r="J206" i="1"/>
  <c r="J76" i="1"/>
  <c r="J31" i="1"/>
  <c r="J230" i="1"/>
  <c r="J32" i="1"/>
  <c r="J34" i="1"/>
  <c r="J33" i="1"/>
  <c r="J23" i="1"/>
  <c r="J24" i="1"/>
  <c r="J155" i="1"/>
  <c r="J157" i="1"/>
  <c r="J162" i="1"/>
  <c r="J69" i="1"/>
  <c r="J67" i="1"/>
  <c r="J209" i="1"/>
  <c r="J66" i="1"/>
  <c r="J56" i="1"/>
  <c r="J235" i="1"/>
  <c r="J55" i="1"/>
  <c r="J6" i="1"/>
  <c r="J91" i="1"/>
  <c r="J79" i="1"/>
  <c r="J94" i="1"/>
  <c r="J166" i="1"/>
  <c r="J83" i="1"/>
  <c r="J84" i="1"/>
  <c r="J46" i="1"/>
  <c r="J45" i="1"/>
  <c r="J236" i="1"/>
  <c r="J181" i="1"/>
  <c r="J64" i="1"/>
  <c r="J11" i="1"/>
  <c r="J238" i="1"/>
  <c r="J233" i="1"/>
  <c r="J95" i="1"/>
  <c r="J26" i="1"/>
  <c r="J62" i="1"/>
  <c r="J239" i="1"/>
  <c r="J213" i="1"/>
  <c r="J15" i="1"/>
  <c r="J57" i="1"/>
  <c r="J53" i="1"/>
  <c r="J217" i="1"/>
  <c r="J63" i="1"/>
  <c r="J88" i="1"/>
  <c r="J171" i="1"/>
  <c r="J237" i="1"/>
  <c r="J82" i="1"/>
  <c r="J75" i="1"/>
  <c r="J101" i="1"/>
  <c r="J109" i="1"/>
  <c r="J97" i="1"/>
  <c r="J96" i="1"/>
  <c r="J106" i="1"/>
  <c r="J100" i="1"/>
  <c r="J110" i="1"/>
  <c r="J98" i="1"/>
  <c r="J104" i="1"/>
  <c r="J108" i="1"/>
  <c r="J107" i="1"/>
  <c r="J111" i="1"/>
  <c r="J102" i="1"/>
  <c r="J103" i="1"/>
  <c r="J105" i="1"/>
  <c r="J99" i="1"/>
  <c r="J184" i="1"/>
  <c r="J190" i="1"/>
  <c r="J186" i="1"/>
  <c r="J220" i="1"/>
  <c r="J224" i="1"/>
  <c r="J222" i="1"/>
  <c r="J223" i="1"/>
  <c r="J225" i="1"/>
  <c r="J71" i="1"/>
  <c r="J226" i="1"/>
  <c r="J221" i="1"/>
  <c r="J227" i="1"/>
  <c r="J74" i="1"/>
  <c r="J70" i="1"/>
  <c r="J158" i="1"/>
  <c r="J137" i="1"/>
  <c r="J201" i="1"/>
  <c r="J4" i="1"/>
  <c r="J122" i="1"/>
  <c r="J120" i="1"/>
  <c r="J117" i="1"/>
  <c r="J92" i="1"/>
  <c r="J138" i="1"/>
  <c r="J29" i="1"/>
  <c r="J73" i="1"/>
  <c r="J135" i="1"/>
  <c r="J167" i="1"/>
  <c r="J3" i="1"/>
  <c r="J124" i="1"/>
  <c r="J177" i="1"/>
  <c r="J208" i="1"/>
  <c r="J139" i="1"/>
  <c r="J60" i="1"/>
  <c r="J125" i="1"/>
  <c r="J140" i="1"/>
  <c r="J180" i="1"/>
  <c r="J232" i="1"/>
  <c r="J126" i="1"/>
  <c r="J163" i="1"/>
  <c r="J188" i="1"/>
  <c r="J93" i="1"/>
  <c r="J173" i="1"/>
  <c r="J212" i="1"/>
  <c r="J169" i="1"/>
  <c r="J68" i="1"/>
  <c r="J189" i="1"/>
  <c r="J228" i="1"/>
  <c r="J86" i="1"/>
  <c r="J132" i="1"/>
  <c r="J151" i="1"/>
  <c r="J174" i="1"/>
  <c r="J193" i="1"/>
  <c r="J216" i="1"/>
  <c r="J128" i="1"/>
  <c r="J165" i="1"/>
  <c r="J214" i="1"/>
  <c r="J80" i="1"/>
  <c r="J130" i="1"/>
  <c r="J153" i="1"/>
  <c r="J198" i="1"/>
  <c r="J197" i="1"/>
  <c r="J231" i="1"/>
  <c r="J47" i="1"/>
  <c r="J205" i="1"/>
  <c r="J78" i="1"/>
  <c r="J116" i="1"/>
  <c r="J199" i="1"/>
  <c r="J182" i="1"/>
  <c r="J185" i="1"/>
  <c r="J18" i="1"/>
  <c r="J28" i="1"/>
  <c r="J90" i="1"/>
  <c r="J133" i="1"/>
  <c r="J156" i="1"/>
  <c r="J240" i="1"/>
  <c r="J204" i="1"/>
  <c r="J187" i="1"/>
  <c r="J118" i="1"/>
  <c r="J170" i="1"/>
  <c r="J215" i="1"/>
  <c r="J61" i="1"/>
  <c r="J123" i="1"/>
  <c r="J161" i="1"/>
  <c r="J89" i="1"/>
  <c r="J136" i="1"/>
  <c r="J160" i="1"/>
  <c r="J183" i="1"/>
  <c r="J202" i="1"/>
  <c r="J65" i="1"/>
  <c r="J58" i="1"/>
  <c r="J119" i="1"/>
  <c r="J196" i="1"/>
  <c r="J168" i="1"/>
  <c r="J179" i="1"/>
  <c r="J210" i="1"/>
  <c r="J219" i="1"/>
  <c r="J81" i="1"/>
  <c r="J191" i="1"/>
  <c r="J87" i="1"/>
  <c r="J121" i="1"/>
  <c r="J7" i="1"/>
  <c r="J164" i="1"/>
  <c r="J195" i="1"/>
  <c r="J207" i="1"/>
  <c r="J211" i="1"/>
  <c r="J129" i="1"/>
  <c r="J178" i="1"/>
  <c r="J59" i="1"/>
  <c r="J127" i="1"/>
  <c r="J159" i="1"/>
  <c r="J176" i="1"/>
  <c r="J192" i="1"/>
  <c r="J16" i="1"/>
  <c r="J21" i="1"/>
  <c r="J25" i="1"/>
  <c r="J14" i="1"/>
  <c r="J22" i="1"/>
  <c r="J10" i="1"/>
  <c r="J19" i="1"/>
  <c r="J12" i="1"/>
  <c r="J13" i="1"/>
  <c r="J9" i="1"/>
  <c r="J27" i="1"/>
</calcChain>
</file>

<file path=xl/comments1.xml><?xml version="1.0" encoding="utf-8"?>
<comments xmlns="http://schemas.openxmlformats.org/spreadsheetml/2006/main">
  <authors>
    <author>Neidi Juárez</author>
  </authors>
  <commentList>
    <comment ref="G18" authorId="0" shapeId="0">
      <text>
        <r>
          <rPr>
            <b/>
            <sz val="9"/>
            <color indexed="81"/>
            <rFont val="Tahoma"/>
            <family val="2"/>
          </rPr>
          <t>Neidi Juárez:
Material que  sufre desgaste por su uso de forma natural e inevitable y que termina degradandolo hasta no ser util.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Neidi Juárez:</t>
        </r>
        <r>
          <rPr>
            <sz val="9"/>
            <color indexed="81"/>
            <rFont val="Tahoma"/>
            <family val="2"/>
          </rPr>
          <t xml:space="preserve">
Material incorporado a la fabricacino de otro equipo que se compone de varios equipos pequeños.</t>
        </r>
      </text>
    </comment>
  </commentList>
</comments>
</file>

<file path=xl/sharedStrings.xml><?xml version="1.0" encoding="utf-8"?>
<sst xmlns="http://schemas.openxmlformats.org/spreadsheetml/2006/main" count="442" uniqueCount="361">
  <si>
    <t>DESCRIPCION</t>
  </si>
  <si>
    <t>LOTE</t>
  </si>
  <si>
    <t>ENTRADAS</t>
  </si>
  <si>
    <t>SALIDAS</t>
  </si>
  <si>
    <t>COSTO UNITARIO</t>
  </si>
  <si>
    <t>IMPORTE INVENTARIO</t>
  </si>
  <si>
    <t>FECHA</t>
  </si>
  <si>
    <t>CANTIDAD</t>
  </si>
  <si>
    <t>Cardas estandar</t>
  </si>
  <si>
    <t>Cinchos de plastico</t>
  </si>
  <si>
    <t>Cincel c-3 4*10</t>
  </si>
  <si>
    <t>Disco abrasivo metal</t>
  </si>
  <si>
    <t>Barras de silicon</t>
  </si>
  <si>
    <t>Pistola de silicon</t>
  </si>
  <si>
    <t>Flota esponja</t>
  </si>
  <si>
    <t>Organizador reforzado</t>
  </si>
  <si>
    <t>Accesorios para herramienta rotativa</t>
  </si>
  <si>
    <t>Careta de soldador</t>
  </si>
  <si>
    <t xml:space="preserve">cargador de baterias </t>
  </si>
  <si>
    <t>linterna de cabeza tipo minero</t>
  </si>
  <si>
    <t>Falsa escuadra</t>
  </si>
  <si>
    <t>Cortador de cable de triquete de mordaza</t>
  </si>
  <si>
    <t>Sierra de corona</t>
  </si>
  <si>
    <t>Destornillador electrico</t>
  </si>
  <si>
    <t>Moto-tool neumatico con accesorios</t>
  </si>
  <si>
    <t>Juego de pinzas para terminales BGS</t>
  </si>
  <si>
    <t>Pelacables BX-40A/B</t>
  </si>
  <si>
    <t>Espatula multiusos</t>
  </si>
  <si>
    <t xml:space="preserve">Tuerca con resorte </t>
  </si>
  <si>
    <t>Amoladora angular pequeña</t>
  </si>
  <si>
    <t>Esmeriladora angular</t>
  </si>
  <si>
    <t>motor electrico monofasico WEO</t>
  </si>
  <si>
    <t>motor electrico</t>
  </si>
  <si>
    <t xml:space="preserve">Amoladora angular </t>
  </si>
  <si>
    <t>Esmeril de troquel de angulo de bateria</t>
  </si>
  <si>
    <t>Atornillador de impacto  de bateria</t>
  </si>
  <si>
    <t>Taladro de percusion</t>
  </si>
  <si>
    <t>Taladro de percusion de baterias</t>
  </si>
  <si>
    <t>Martillo perforador  demoledor inalambrico</t>
  </si>
  <si>
    <t>Cable blanco comulac 10 AWS</t>
  </si>
  <si>
    <t>Cable rojo vinanel XXI  14 AWS</t>
  </si>
  <si>
    <t>Cable blanco vinanel XXI 14 AWS</t>
  </si>
  <si>
    <t>Estuche de accesorios de ferulas</t>
  </si>
  <si>
    <t xml:space="preserve">Arrancador de motor en caja termica </t>
  </si>
  <si>
    <t>Nucleo de ferrita</t>
  </si>
  <si>
    <t>Base para relevador finder</t>
  </si>
  <si>
    <t>Pinzas de punta pelacables</t>
  </si>
  <si>
    <t>Pelacables de fibra optica</t>
  </si>
  <si>
    <t>Panel view 800 7-inch hmi terminal</t>
  </si>
  <si>
    <t>Modulo de entrada analogico de 4 puntos</t>
  </si>
  <si>
    <t>Sistema proyector de imagen de hologramas</t>
  </si>
  <si>
    <t>Impresora de etiquetas BRADY M511</t>
  </si>
  <si>
    <t>Pinzas de electricista</t>
  </si>
  <si>
    <t xml:space="preserve">Transmisor de presion </t>
  </si>
  <si>
    <t xml:space="preserve">Modulo relè electronico </t>
  </si>
  <si>
    <t>Conector de tornillo WQV</t>
  </si>
  <si>
    <t>Relè finder</t>
  </si>
  <si>
    <t xml:space="preserve">Contacto trifasico </t>
  </si>
  <si>
    <t>Teclado inalambrico</t>
  </si>
  <si>
    <t>Bloque de terminales con fusible</t>
  </si>
  <si>
    <t xml:space="preserve">Tope final </t>
  </si>
  <si>
    <t xml:space="preserve">Conector roscado rescto </t>
  </si>
  <si>
    <t>Remate cuadrado para unicanal</t>
  </si>
  <si>
    <t>Bloque de terminales</t>
  </si>
  <si>
    <t>Interruptor automatico modular</t>
  </si>
  <si>
    <t>Interrumptor bifasico</t>
  </si>
  <si>
    <t>Contactor IEC-Trifasico</t>
  </si>
  <si>
    <t>Fuente de alimentacion</t>
  </si>
  <si>
    <t>Arrancador de motor manual</t>
  </si>
  <si>
    <t>Interruptor selector</t>
  </si>
  <si>
    <t>Piloto luminoso modular</t>
  </si>
  <si>
    <t>Carrasa de plastico que protege cables</t>
  </si>
  <si>
    <t>Surtido de 238 ganchos para tablero</t>
  </si>
  <si>
    <t xml:space="preserve">Remachadora tipo tijera </t>
  </si>
  <si>
    <t>Mordazas de acero</t>
  </si>
  <si>
    <t>Brocas</t>
  </si>
  <si>
    <t>NO DOCUMENTO</t>
  </si>
  <si>
    <t>CODIGO PRODUCTO</t>
  </si>
  <si>
    <t>STOCK ACTUAL</t>
  </si>
  <si>
    <t>FECHA.</t>
  </si>
  <si>
    <t>Amoladora 1/4  angular pequeña de bateria</t>
  </si>
  <si>
    <t xml:space="preserve">Boton selector </t>
  </si>
  <si>
    <t>contacto electrico</t>
  </si>
  <si>
    <t>combo esmeriladora 4-1/22,950w</t>
  </si>
  <si>
    <t>Cuchara mezclera tipo filadelfia 10"</t>
  </si>
  <si>
    <t xml:space="preserve">cinta masking tape azul </t>
  </si>
  <si>
    <t>Disco abrasivo piedra</t>
  </si>
  <si>
    <t>disco de corte de metal</t>
  </si>
  <si>
    <t>escalera tubular plegable</t>
  </si>
  <si>
    <t>guantes de carnaza</t>
  </si>
  <si>
    <t>porta retrato de platico con bolsillo para dibujo</t>
  </si>
  <si>
    <t>Impresora de etiquetas BRADY M410</t>
  </si>
  <si>
    <t xml:space="preserve">juego de 5 desarmadores </t>
  </si>
  <si>
    <t>lampara ambar 120 VAC</t>
  </si>
  <si>
    <t>juego de 22 llaves convinadas std</t>
  </si>
  <si>
    <t>Lampara roja 120 VAC</t>
  </si>
  <si>
    <t>prosesador micrologics PLC</t>
  </si>
  <si>
    <t xml:space="preserve">multrimetro de prosesos </t>
  </si>
  <si>
    <t>maleta portaheramienta de 12</t>
  </si>
  <si>
    <t>probador de cables de red UTP,FTP, STP</t>
  </si>
  <si>
    <t>Pinzas crimpadoras</t>
  </si>
  <si>
    <t>porta herramienta de poliester</t>
  </si>
  <si>
    <t xml:space="preserve">pelicula plastica </t>
  </si>
  <si>
    <t>pinzas de presion 9 tipo c</t>
  </si>
  <si>
    <t>plastiprotector 5X2m uso rudo</t>
  </si>
  <si>
    <t>prensa rapida tipo F 12</t>
  </si>
  <si>
    <t xml:space="preserve">regla de 30 cm de acero inoxidable </t>
  </si>
  <si>
    <t>Relè con bloqueo de terminales</t>
  </si>
  <si>
    <t xml:space="preserve">rollo de rafia de 410m color blanco </t>
  </si>
  <si>
    <t>Base de rele</t>
  </si>
  <si>
    <t>MINIMO</t>
  </si>
  <si>
    <t>QUIEN RETIRA</t>
  </si>
  <si>
    <t>STOCK IDEAL</t>
  </si>
  <si>
    <t xml:space="preserve">Llave de impacto </t>
  </si>
  <si>
    <t>AA-00</t>
  </si>
  <si>
    <t>disco laminado 7" grano 40</t>
  </si>
  <si>
    <t>disco laminado 7" grano 80</t>
  </si>
  <si>
    <t>disco laminado 4 1/2 grano 120</t>
  </si>
  <si>
    <t xml:space="preserve">disco laminado 4 1/2 grano 40 </t>
  </si>
  <si>
    <t>Disco abrasivo de desvaste</t>
  </si>
  <si>
    <t>Disco de corte 9"</t>
  </si>
  <si>
    <t>disco de desbaste 9"</t>
  </si>
  <si>
    <t xml:space="preserve">rafia de polipropileno </t>
  </si>
  <si>
    <t xml:space="preserve">gis para tira lineas </t>
  </si>
  <si>
    <t>limpiador de contacto</t>
  </si>
  <si>
    <t xml:space="preserve">cinta aislante roja </t>
  </si>
  <si>
    <t xml:space="preserve">cinta aislante negra </t>
  </si>
  <si>
    <t>cinta teflon</t>
  </si>
  <si>
    <t>termofil 14mm</t>
  </si>
  <si>
    <t>termofil 10mm</t>
  </si>
  <si>
    <t>termofil 8mm</t>
  </si>
  <si>
    <t>termofil 4mm</t>
  </si>
  <si>
    <t>termofil 3mm</t>
  </si>
  <si>
    <t>termofil 2mm</t>
  </si>
  <si>
    <t>termofil 1mm</t>
  </si>
  <si>
    <t>termofil 6mm</t>
  </si>
  <si>
    <t xml:space="preserve">pinzas de punta klein tools </t>
  </si>
  <si>
    <t>pinzas de electricista klein tools</t>
  </si>
  <si>
    <t>pinzas de corte recto klein tools</t>
  </si>
  <si>
    <t>dado allen 3/8*3"</t>
  </si>
  <si>
    <t>dado allen 3/8*4"</t>
  </si>
  <si>
    <t>dado allen 3/8*5"</t>
  </si>
  <si>
    <t>dado allen 3/8*6"</t>
  </si>
  <si>
    <t>dado alllen 3/8*7"</t>
  </si>
  <si>
    <t>dado allen 3/8*8"</t>
  </si>
  <si>
    <t>dado allen 3/8*9"</t>
  </si>
  <si>
    <t>dado allen 3/8*10"</t>
  </si>
  <si>
    <t>dado allen 3/8*5/16</t>
  </si>
  <si>
    <t>dado allen 3/8*3/8</t>
  </si>
  <si>
    <t>dado alllen 3/8*1/4</t>
  </si>
  <si>
    <t>dado allen 3/8*7/32</t>
  </si>
  <si>
    <t>dado allen 3/8*3/16</t>
  </si>
  <si>
    <t>dado allen  378*5/32</t>
  </si>
  <si>
    <t>dado allen 3/8*9/64</t>
  </si>
  <si>
    <t>dado allen 3/8*1/8</t>
  </si>
  <si>
    <t>contacto fijo med. Vuelta 20A 220V</t>
  </si>
  <si>
    <t>clabija media vta 3P 3H 20A 125/250</t>
  </si>
  <si>
    <t>valvula globo</t>
  </si>
  <si>
    <t>conector de vinyl blindado</t>
  </si>
  <si>
    <t>multicontacto 3 entradas</t>
  </si>
  <si>
    <t>cerradura sobre poner 3 bulones</t>
  </si>
  <si>
    <t>caja cuadrada 4 prof</t>
  </si>
  <si>
    <t>tapa cuadrada 4</t>
  </si>
  <si>
    <t>breaker 1P-30A pastilla termomargentica</t>
  </si>
  <si>
    <t>centro de carga interno c/caja</t>
  </si>
  <si>
    <t>candado de conbinacion negro</t>
  </si>
  <si>
    <t xml:space="preserve">interruptor de puerta </t>
  </si>
  <si>
    <t>ventilador 255x255mm 250 m3/hr 120V</t>
  </si>
  <si>
    <t>sk filtro de salida 255x255mm RAL7035</t>
  </si>
  <si>
    <t>charola tipo escalera de alimnio 6-6 3.66mts</t>
  </si>
  <si>
    <t>curva horizontal de aluminio 6" a 90o</t>
  </si>
  <si>
    <t>curva vertical exxterior de aluminio 6" a 90o</t>
  </si>
  <si>
    <t>mordaza de 3/8 clevis chica</t>
  </si>
  <si>
    <t>varilla roscada nacional de 1/4 x3 mts</t>
  </si>
  <si>
    <t>tuerca hexagonal galvanizada 3/8</t>
  </si>
  <si>
    <t>unicanal perforado 4x2 de 3mts</t>
  </si>
  <si>
    <t>pija cabeza hexagonal punbta broca #14 x1/14"</t>
  </si>
  <si>
    <t>zapata ojillo 5/16 cal 2 cañon largo</t>
  </si>
  <si>
    <t>cable multiconductor arsa 6x16</t>
  </si>
  <si>
    <t>cable multiconductor arsa 3x16</t>
  </si>
  <si>
    <t>conector glandula de plastico negro 3/4</t>
  </si>
  <si>
    <t>conector glandula de plastico negro 1/2</t>
  </si>
  <si>
    <t>tuvo p/g 3/4</t>
  </si>
  <si>
    <t>condulet lb 1" serie 9</t>
  </si>
  <si>
    <t>contra tuerca  3/4</t>
  </si>
  <si>
    <t>canaleta mca azul 40x80</t>
  </si>
  <si>
    <t>canaleta mca legrado azul 60x80</t>
  </si>
  <si>
    <t>riel din de 2 mts</t>
  </si>
  <si>
    <t>cincho blanco 4/102 mm pandiut</t>
  </si>
  <si>
    <t>cincho blanco pandiut 12/305</t>
  </si>
  <si>
    <t>cinho blanco pandiut 8/203</t>
  </si>
  <si>
    <t xml:space="preserve">manguera en espiral de 1/2 en metro transparente </t>
  </si>
  <si>
    <t>transformador de control 500VA</t>
  </si>
  <si>
    <t>interrumpor para riel de 2 polos 2A 240/415V</t>
  </si>
  <si>
    <t>interruptor para riel de 2 polos 6A 230/400V</t>
  </si>
  <si>
    <t>lampara verde 110 vac XB4BVG3</t>
  </si>
  <si>
    <t>lampara roja 110 VAC XB4BVG4</t>
  </si>
  <si>
    <t xml:space="preserve">boton domino iluminado </t>
  </si>
  <si>
    <t xml:space="preserve">boton para de emergencia </t>
  </si>
  <si>
    <t xml:space="preserve">relevador de control </t>
  </si>
  <si>
    <t>cable cal 16 aws color rojo</t>
  </si>
  <si>
    <t>cable cal 16 aws color blanco</t>
  </si>
  <si>
    <t>cable cal 16 aws color verde</t>
  </si>
  <si>
    <t>cable cal 12 aws color rojo</t>
  </si>
  <si>
    <t xml:space="preserve">cable cal 12 aws colo blanco </t>
  </si>
  <si>
    <t>clema de paaso wdu 2.5 wedmiuller</t>
  </si>
  <si>
    <t>clema de tierra 26-12 aws verde con amarillo</t>
  </si>
  <si>
    <t>tope wedmiuller 35/2</t>
  </si>
  <si>
    <t>tapa final para clema wedmiuler 2.5-10</t>
  </si>
  <si>
    <t>numeros, wedmiuller dekafis 5-F5</t>
  </si>
  <si>
    <t>puentes wedmiuller wqv 2.5/10</t>
  </si>
  <si>
    <t>porta fusible  wedmiuller wsi 6ld 60</t>
  </si>
  <si>
    <t>campana tipo UFO 200W 100-277V</t>
  </si>
  <si>
    <t xml:space="preserve">cable cal 16 blanco </t>
  </si>
  <si>
    <t>cable cal 16 rojo</t>
  </si>
  <si>
    <t xml:space="preserve">tuvo flecible licuate 63mm </t>
  </si>
  <si>
    <t xml:space="preserve">conector recto licuate enzing </t>
  </si>
  <si>
    <t>cable thw 4/0 600 v</t>
  </si>
  <si>
    <t>cable vinanel XXI thwls 600V90</t>
  </si>
  <si>
    <t>zapata terminal cañon largo cal 4/0 barreno 1/2 P</t>
  </si>
  <si>
    <t>cinta de hule m/tencion espesor 0.75 mm</t>
  </si>
  <si>
    <t>cable uso rudo 3x16</t>
  </si>
  <si>
    <t xml:space="preserve">cable cal 6 negro carrete </t>
  </si>
  <si>
    <t>klein tools</t>
  </si>
  <si>
    <t xml:space="preserve">pinzas de precion 8" tipo sargento </t>
  </si>
  <si>
    <t>pinzas de precion 11" tipo c</t>
  </si>
  <si>
    <t>desarmador plano</t>
  </si>
  <si>
    <t>desarmador de cruz</t>
  </si>
  <si>
    <t>flexometro</t>
  </si>
  <si>
    <t xml:space="preserve">juego de llaves estandar </t>
  </si>
  <si>
    <t>juego de llaves milimetricas</t>
  </si>
  <si>
    <t>regleta para tornillos</t>
  </si>
  <si>
    <t>multimetro</t>
  </si>
  <si>
    <t xml:space="preserve">lampara huski </t>
  </si>
  <si>
    <t>baterias milwauke</t>
  </si>
  <si>
    <t>estaño</t>
  </si>
  <si>
    <t>cable condulac cal 2 verde</t>
  </si>
  <si>
    <t>cable conduac cal 12 rojo</t>
  </si>
  <si>
    <t>cable condulac cal 12 blanco</t>
  </si>
  <si>
    <t>cable condulac cal 10 negro</t>
  </si>
  <si>
    <t>cable vinanel al 14 blanco</t>
  </si>
  <si>
    <t>cable condulac cal 16 blanco</t>
  </si>
  <si>
    <t xml:space="preserve">cable voltec cal 18 blanco </t>
  </si>
  <si>
    <t>cable condulac cal 10 blanco</t>
  </si>
  <si>
    <t>cable condumex cal 16 azul</t>
  </si>
  <si>
    <t>dados hexagonales milimetricos</t>
  </si>
  <si>
    <t>dado hexagonales estandar de 3/8</t>
  </si>
  <si>
    <t xml:space="preserve"> Slingas</t>
  </si>
  <si>
    <t xml:space="preserve"> Disco de diamante para porcelanato 4 1/2</t>
  </si>
  <si>
    <t xml:space="preserve"> Boton domino iluminado</t>
  </si>
  <si>
    <t xml:space="preserve">Bascula </t>
  </si>
  <si>
    <t>Ax armario metalico 1200x800x400RA</t>
  </si>
  <si>
    <t>CATALOGO</t>
  </si>
  <si>
    <t>CATEGORIA</t>
  </si>
  <si>
    <t>Abrazadera unicanal 3/4</t>
  </si>
  <si>
    <t>Arandela plana galvanizada 3/8</t>
  </si>
  <si>
    <t>convertidor de interfaz</t>
  </si>
  <si>
    <t xml:space="preserve">Cable cereal DB9 entrada USB </t>
  </si>
  <si>
    <t xml:space="preserve">cable cereal RS 232 </t>
  </si>
  <si>
    <t>Cable USB (2.0 PARA IMPRESORA MA TIPO B M</t>
  </si>
  <si>
    <t>Puerto cereal H a un cable CBL-PC02</t>
  </si>
  <si>
    <t xml:space="preserve">Cable DB9 macho/hembra </t>
  </si>
  <si>
    <t>sensores</t>
  </si>
  <si>
    <t>USB mini</t>
  </si>
  <si>
    <t>remachadora para taladro</t>
  </si>
  <si>
    <t>covertidor USB 3.0 A SATA/IDE</t>
  </si>
  <si>
    <t>Interruptor termomagnetico 15A 220 V</t>
  </si>
  <si>
    <t>Interruptor termomagnetico 100A 440 V</t>
  </si>
  <si>
    <t>transmisor devacio 24VCC</t>
  </si>
  <si>
    <t>Fuente de alimentacion 24 VDC/4.2 A</t>
  </si>
  <si>
    <t xml:space="preserve">interfaz hombre maquina </t>
  </si>
  <si>
    <t>pantalla LCD monocromatica 3 "</t>
  </si>
  <si>
    <t>modulo de interfaz por rockwell</t>
  </si>
  <si>
    <t>convertidor de interfaz avanzada (AIC+)</t>
  </si>
  <si>
    <t xml:space="preserve">boton pulsador doble </t>
  </si>
  <si>
    <t xml:space="preserve">boton seleccionador </t>
  </si>
  <si>
    <t xml:space="preserve">controlador de temperatura digital </t>
  </si>
  <si>
    <t xml:space="preserve">cantactor de potencia </t>
  </si>
  <si>
    <t xml:space="preserve">rele </t>
  </si>
  <si>
    <t>contactor electrico AB</t>
  </si>
  <si>
    <t>entrad de 4 canales analogicos C/V</t>
  </si>
  <si>
    <t xml:space="preserve">entrada de 8 canales analogics </t>
  </si>
  <si>
    <t>terminator</t>
  </si>
  <si>
    <t>modulo de 4 salidas analogicas</t>
  </si>
  <si>
    <t>procesador micro 820</t>
  </si>
  <si>
    <t xml:space="preserve">modulo 2 estradas 2 salidas </t>
  </si>
  <si>
    <t xml:space="preserve">modulo de 8 entradas analogicas </t>
  </si>
  <si>
    <t>modulo de 16 entradas 24V</t>
  </si>
  <si>
    <t xml:space="preserve">modulo de 116 salidas a relevador </t>
  </si>
  <si>
    <t>panel view 800 4 "</t>
  </si>
  <si>
    <t xml:space="preserve">driver para motor a pasos </t>
  </si>
  <si>
    <t>modulo de expansión fuente 24VO</t>
  </si>
  <si>
    <t xml:space="preserve">modulo de 4 entradas analogicas </t>
  </si>
  <si>
    <t>calibrador de donas transductor</t>
  </si>
  <si>
    <t>1762-IF4</t>
  </si>
  <si>
    <t>2085-EP24VDC</t>
  </si>
  <si>
    <t>DM-86OH</t>
  </si>
  <si>
    <t>2711-RT4T</t>
  </si>
  <si>
    <t>1762-IQ16</t>
  </si>
  <si>
    <t>1762-016</t>
  </si>
  <si>
    <t>2085-IF8</t>
  </si>
  <si>
    <t>1762-IF2OF2</t>
  </si>
  <si>
    <t>2085-OF4</t>
  </si>
  <si>
    <t>2080-LC20-20QWB</t>
  </si>
  <si>
    <t>1769-ECR</t>
  </si>
  <si>
    <t>Modulo de entradas 4 canales TC/RTD</t>
  </si>
  <si>
    <t>285-IRT4</t>
  </si>
  <si>
    <t>1769-IF8</t>
  </si>
  <si>
    <t>1769-IF4</t>
  </si>
  <si>
    <t xml:space="preserve">CTRL </t>
  </si>
  <si>
    <t>ELECTRICIDAD</t>
  </si>
  <si>
    <t>MECANICO</t>
  </si>
  <si>
    <t>GENERAL</t>
  </si>
  <si>
    <t>ESPECIAL</t>
  </si>
  <si>
    <t>SERVICIOS</t>
  </si>
  <si>
    <t>SOLDADURA</t>
  </si>
  <si>
    <t>EPP</t>
  </si>
  <si>
    <t>ELECTRONICA</t>
  </si>
  <si>
    <t>PLC</t>
  </si>
  <si>
    <t>H. MANO</t>
  </si>
  <si>
    <t>H. ELECTRICA</t>
  </si>
  <si>
    <t xml:space="preserve">CONSUMIBLE </t>
  </si>
  <si>
    <t>H.MANO</t>
  </si>
  <si>
    <t>CONSUMIBLES</t>
  </si>
  <si>
    <t>H.ELECTRICA</t>
  </si>
  <si>
    <t>SUBCATEGORIA</t>
  </si>
  <si>
    <t>Etiquetas de fila</t>
  </si>
  <si>
    <t>Total general</t>
  </si>
  <si>
    <t>INSUMO</t>
  </si>
  <si>
    <t>NO</t>
  </si>
  <si>
    <t>Columna1</t>
  </si>
  <si>
    <t>CATEGORIAS</t>
  </si>
  <si>
    <t>CTRL</t>
  </si>
  <si>
    <t xml:space="preserve">MECANICO </t>
  </si>
  <si>
    <t>(C)EPP</t>
  </si>
  <si>
    <t>(E)H. MANO</t>
  </si>
  <si>
    <t>(G)H. MANO</t>
  </si>
  <si>
    <t>(M)H. MANO</t>
  </si>
  <si>
    <t>(SE)EPP</t>
  </si>
  <si>
    <t>(S)H. MANO</t>
  </si>
  <si>
    <t>(C)PLC</t>
  </si>
  <si>
    <t>(ES)EPP</t>
  </si>
  <si>
    <t>(E)H. ELECTRICA</t>
  </si>
  <si>
    <t>(G)H. ELECTRICA</t>
  </si>
  <si>
    <t>(M)H. ELECTRICA</t>
  </si>
  <si>
    <t xml:space="preserve">(SE)INSUMO </t>
  </si>
  <si>
    <t>(S)H. ELECTRICA</t>
  </si>
  <si>
    <t>(C)ELECTRONICA</t>
  </si>
  <si>
    <t>(E)EPP</t>
  </si>
  <si>
    <t>(G)EPP</t>
  </si>
  <si>
    <t>(M)EPP</t>
  </si>
  <si>
    <t>(S)EPP</t>
  </si>
  <si>
    <t>(C)INSUMO</t>
  </si>
  <si>
    <t>(E)CONSUMIBLE</t>
  </si>
  <si>
    <t>(G)CONSUMIBLE</t>
  </si>
  <si>
    <t>(M)CONSUMIBLE</t>
  </si>
  <si>
    <t>(S)CONSUMIBLE</t>
  </si>
  <si>
    <t>(E)INSUMO</t>
  </si>
  <si>
    <t>(G)INSUMO</t>
  </si>
  <si>
    <t>(M)INSUMO</t>
  </si>
  <si>
    <t>(S)INSUMO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</si>
</sst>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\F\C\-000\-000"/>
    <numFmt numFmtId="165" formatCode="dd/mm/yy;@"/>
    <numFmt numFmtId="166" formatCode="\F\V\-000\-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 Black"/>
    </font>
    <font>
      <sz val="11"/>
      <color theme="1"/>
      <name val="Arial Black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2">
      <alignment horizontal="center" vertical="center"/>
    </xf>
  </cellStyleXfs>
  <cellXfs count="42">
    <xf numFmtId="0" fontId="0" fillId="0" borderId="0" xfId="0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3" borderId="0" xfId="0" applyNumberFormat="1" applyFill="1"/>
    <xf numFmtId="14" fontId="0" fillId="0" borderId="0" xfId="0" applyNumberFormat="1"/>
    <xf numFmtId="44" fontId="0" fillId="3" borderId="1" xfId="1" applyFont="1" applyFill="1" applyBorder="1"/>
    <xf numFmtId="44" fontId="0" fillId="0" borderId="0" xfId="1" applyFont="1"/>
    <xf numFmtId="0" fontId="0" fillId="2" borderId="0" xfId="0" applyFill="1" applyBorder="1"/>
    <xf numFmtId="0" fontId="0" fillId="0" borderId="0" xfId="0" applyAlignment="1">
      <alignment vertical="center"/>
    </xf>
    <xf numFmtId="0" fontId="0" fillId="3" borderId="1" xfId="0" applyNumberFormat="1" applyFill="1" applyBorder="1"/>
    <xf numFmtId="0" fontId="0" fillId="0" borderId="0" xfId="0" applyBorder="1"/>
    <xf numFmtId="0" fontId="0" fillId="2" borderId="3" xfId="0" applyFill="1" applyBorder="1"/>
    <xf numFmtId="0" fontId="0" fillId="3" borderId="3" xfId="0" applyNumberFormat="1" applyFill="1" applyBorder="1"/>
    <xf numFmtId="0" fontId="0" fillId="3" borderId="3" xfId="0" applyFill="1" applyBorder="1"/>
    <xf numFmtId="44" fontId="0" fillId="3" borderId="3" xfId="1" applyFont="1" applyFill="1" applyBorder="1"/>
    <xf numFmtId="0" fontId="2" fillId="4" borderId="5" xfId="0" applyFont="1" applyFill="1" applyBorder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7" xfId="0" applyFill="1" applyBorder="1"/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1" fillId="0" borderId="1" xfId="0" applyNumberFormat="1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6" borderId="8" xfId="0" applyFont="1" applyFill="1" applyBorder="1"/>
    <xf numFmtId="0" fontId="8" fillId="4" borderId="9" xfId="0" applyFont="1" applyFill="1" applyBorder="1"/>
    <xf numFmtId="0" fontId="8" fillId="7" borderId="0" xfId="0" applyFont="1" applyFill="1" applyBorder="1"/>
    <xf numFmtId="0" fontId="8" fillId="8" borderId="9" xfId="0" applyFont="1" applyFill="1" applyBorder="1"/>
    <xf numFmtId="0" fontId="8" fillId="9" borderId="9" xfId="0" applyFont="1" applyFill="1" applyBorder="1"/>
    <xf numFmtId="0" fontId="8" fillId="10" borderId="9" xfId="0" applyFont="1" applyFill="1" applyBorder="1"/>
    <xf numFmtId="0" fontId="8" fillId="11" borderId="9" xfId="0" applyFont="1" applyFill="1" applyBorder="1"/>
    <xf numFmtId="0" fontId="7" fillId="12" borderId="9" xfId="0" applyFont="1" applyFill="1" applyBorder="1"/>
    <xf numFmtId="0" fontId="8" fillId="7" borderId="9" xfId="0" applyFont="1" applyFill="1" applyBorder="1"/>
    <xf numFmtId="0" fontId="7" fillId="0" borderId="9" xfId="0" applyFont="1" applyBorder="1"/>
  </cellXfs>
  <cellStyles count="3">
    <cellStyle name="CAT-0000" xfId="2"/>
    <cellStyle name="Moneda" xfId="1" builtinId="4"/>
    <cellStyle name="Normal" xfId="0" builtinId="0"/>
  </cellStyles>
  <dxfs count="61"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b/>
      </font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5" formatCode="dd/mm/yy;@"/>
    </dxf>
    <dxf>
      <numFmt numFmtId="166" formatCode="\F\V\-000\-00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4" formatCode="\F\C\-000\-000"/>
    </dxf>
    <dxf>
      <numFmt numFmtId="34" formatCode="_-&quot;$&quot;* #,##0.00_-;\-&quot;$&quot;* #,##0.00_-;_-&quot;$&quot;* &quot;-&quot;??_-;_-@_-"/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4" tint="0.79998168889431442"/>
        </patternFill>
      </fill>
    </dxf>
    <dxf>
      <font>
        <color theme="0"/>
      </font>
      <fill>
        <patternFill>
          <bgColor theme="9" tint="0.39994506668294322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9" tint="0.39994506668294322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theme="6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6"/>
        </patternFill>
      </fill>
    </dxf>
    <dxf>
      <fill>
        <patternFill>
          <bgColor rgb="FF6BEB7A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4"/>
      </font>
    </dxf>
  </dxfs>
  <tableStyles count="2" defaultTableStyle="Estilo de tabla 2" defaultPivotStyle="PivotStyleLight16">
    <tableStyle name="Estilo de tabla 1" pivot="0" count="0"/>
    <tableStyle name="Estilo de tabla 2" pivot="0" count="1">
      <tableStyleElement type="firstRowStripe" dxfId="60"/>
    </tableStyle>
  </tableStyles>
  <colors>
    <mruColors>
      <color rgb="FF6BEB7A"/>
      <color rgb="FF00FF00"/>
      <color rgb="FF3CE450"/>
      <color rgb="FFBEF6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SALIDAS!A1"/><Relationship Id="rId1" Type="http://schemas.openxmlformats.org/officeDocument/2006/relationships/hyperlink" Target="#ENTRADA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SALIDAS!A1"/><Relationship Id="rId1" Type="http://schemas.openxmlformats.org/officeDocument/2006/relationships/hyperlink" Target="#STOCK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ENTRADAS!A1"/><Relationship Id="rId1" Type="http://schemas.openxmlformats.org/officeDocument/2006/relationships/hyperlink" Target="#STOCK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10583</xdr:colOff>
      <xdr:row>0</xdr:row>
      <xdr:rowOff>88034</xdr:rowOff>
    </xdr:from>
    <xdr:to>
      <xdr:col>4</xdr:col>
      <xdr:colOff>603250</xdr:colOff>
      <xdr:row>0</xdr:row>
      <xdr:rowOff>578716</xdr:rowOff>
    </xdr:to>
    <xdr:sp macro="" textlink="">
      <xdr:nvSpPr>
        <xdr:cNvPr id="7" name="Rectángulo redondeado 6">
          <a:hlinkClick xmlns:r="http://schemas.openxmlformats.org/officeDocument/2006/relationships" r:id="rId1"/>
        </xdr:cNvPr>
        <xdr:cNvSpPr/>
      </xdr:nvSpPr>
      <xdr:spPr>
        <a:xfrm>
          <a:off x="1672166" y="88034"/>
          <a:ext cx="3312584" cy="490682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ENTRADAS</a:t>
          </a:r>
        </a:p>
      </xdr:txBody>
    </xdr:sp>
    <xdr:clientData/>
  </xdr:twoCellAnchor>
  <xdr:twoCellAnchor>
    <xdr:from>
      <xdr:col>6</xdr:col>
      <xdr:colOff>8081</xdr:colOff>
      <xdr:row>0</xdr:row>
      <xdr:rowOff>88518</xdr:rowOff>
    </xdr:from>
    <xdr:to>
      <xdr:col>9</xdr:col>
      <xdr:colOff>1090082</xdr:colOff>
      <xdr:row>0</xdr:row>
      <xdr:rowOff>560918</xdr:rowOff>
    </xdr:to>
    <xdr:sp macro="" textlink="">
      <xdr:nvSpPr>
        <xdr:cNvPr id="11" name="Rectángulo redondeado 10">
          <a:hlinkClick xmlns:r="http://schemas.openxmlformats.org/officeDocument/2006/relationships" r:id="rId2"/>
        </xdr:cNvPr>
        <xdr:cNvSpPr/>
      </xdr:nvSpPr>
      <xdr:spPr>
        <a:xfrm>
          <a:off x="6125248" y="88518"/>
          <a:ext cx="3209251" cy="4724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SALIDAS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0</xdr:row>
      <xdr:rowOff>66675</xdr:rowOff>
    </xdr:from>
    <xdr:to>
      <xdr:col>2</xdr:col>
      <xdr:colOff>742950</xdr:colOff>
      <xdr:row>0</xdr:row>
      <xdr:rowOff>533400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1475" y="66675"/>
          <a:ext cx="2362200" cy="4667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aseline="0">
              <a:solidFill>
                <a:sysClr val="windowText" lastClr="000000"/>
              </a:solidFill>
            </a:rPr>
            <a:t>INVENTARIO</a:t>
          </a:r>
        </a:p>
      </xdr:txBody>
    </xdr:sp>
    <xdr:clientData/>
  </xdr:twoCellAnchor>
  <xdr:twoCellAnchor>
    <xdr:from>
      <xdr:col>3</xdr:col>
      <xdr:colOff>1028699</xdr:colOff>
      <xdr:row>0</xdr:row>
      <xdr:rowOff>75811</xdr:rowOff>
    </xdr:from>
    <xdr:to>
      <xdr:col>5</xdr:col>
      <xdr:colOff>828674</xdr:colOff>
      <xdr:row>0</xdr:row>
      <xdr:rowOff>523875</xdr:rowOff>
    </xdr:to>
    <xdr:sp macro="" textlink="">
      <xdr:nvSpPr>
        <xdr:cNvPr id="3" name="Rectángulo redondeado 2">
          <a:hlinkClick xmlns:r="http://schemas.openxmlformats.org/officeDocument/2006/relationships" r:id="rId2"/>
        </xdr:cNvPr>
        <xdr:cNvSpPr/>
      </xdr:nvSpPr>
      <xdr:spPr>
        <a:xfrm>
          <a:off x="4410074" y="75811"/>
          <a:ext cx="2962275" cy="44806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SALIDAS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0</xdr:row>
      <xdr:rowOff>57150</xdr:rowOff>
    </xdr:from>
    <xdr:to>
      <xdr:col>3</xdr:col>
      <xdr:colOff>266700</xdr:colOff>
      <xdr:row>0</xdr:row>
      <xdr:rowOff>533400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1114425" y="57150"/>
          <a:ext cx="2752725" cy="47625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 baseline="0">
              <a:solidFill>
                <a:sysClr val="windowText" lastClr="000000"/>
              </a:solidFill>
            </a:rPr>
            <a:t>INVENTARIO</a:t>
          </a:r>
        </a:p>
      </xdr:txBody>
    </xdr:sp>
    <xdr:clientData/>
  </xdr:twoCellAnchor>
  <xdr:twoCellAnchor>
    <xdr:from>
      <xdr:col>3</xdr:col>
      <xdr:colOff>904875</xdr:colOff>
      <xdr:row>0</xdr:row>
      <xdr:rowOff>55463</xdr:rowOff>
    </xdr:from>
    <xdr:to>
      <xdr:col>4</xdr:col>
      <xdr:colOff>1266824</xdr:colOff>
      <xdr:row>0</xdr:row>
      <xdr:rowOff>533400</xdr:rowOff>
    </xdr:to>
    <xdr:sp macro="" textlink="">
      <xdr:nvSpPr>
        <xdr:cNvPr id="3" name="Rectángulo redondeado 2">
          <a:hlinkClick xmlns:r="http://schemas.openxmlformats.org/officeDocument/2006/relationships" r:id="rId2"/>
        </xdr:cNvPr>
        <xdr:cNvSpPr/>
      </xdr:nvSpPr>
      <xdr:spPr>
        <a:xfrm>
          <a:off x="4505325" y="55463"/>
          <a:ext cx="3143249" cy="47793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ENTRADAS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eidi Juárez" refreshedDate="46084.681862500001" createdVersion="5" refreshedVersion="5" minRefreshableVersion="3" recordCount="20">
  <cacheSource type="worksheet">
    <worksheetSource ref="A1:B21" sheet="Hoja2"/>
  </cacheSource>
  <cacheFields count="2">
    <cacheField name="CATEGORIA" numFmtId="0">
      <sharedItems count="7">
        <s v="CTRL "/>
        <s v="ELECTRICIDAD"/>
        <s v="MECANICO"/>
        <s v="GENERAL"/>
        <s v="ESPECIAL"/>
        <s v="SERVICIOS"/>
        <s v="SOLDADURA"/>
      </sharedItems>
    </cacheField>
    <cacheField name="SUBCATEGORIA" numFmtId="0">
      <sharedItems count="9">
        <s v="EPP"/>
        <s v="ELECTRONICA"/>
        <s v="PLC"/>
        <s v="H. MANO"/>
        <s v="H. ELECTRICA"/>
        <s v="CONSUMIBLE "/>
        <s v="H.MANO"/>
        <s v="CONSUMIBLES"/>
        <s v="H.ELECT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</r>
  <r>
    <x v="0"/>
    <x v="1"/>
  </r>
  <r>
    <x v="0"/>
    <x v="2"/>
  </r>
  <r>
    <x v="1"/>
    <x v="3"/>
  </r>
  <r>
    <x v="1"/>
    <x v="4"/>
  </r>
  <r>
    <x v="1"/>
    <x v="5"/>
  </r>
  <r>
    <x v="1"/>
    <x v="0"/>
  </r>
  <r>
    <x v="2"/>
    <x v="6"/>
  </r>
  <r>
    <x v="2"/>
    <x v="4"/>
  </r>
  <r>
    <x v="2"/>
    <x v="7"/>
  </r>
  <r>
    <x v="2"/>
    <x v="0"/>
  </r>
  <r>
    <x v="3"/>
    <x v="6"/>
  </r>
  <r>
    <x v="3"/>
    <x v="8"/>
  </r>
  <r>
    <x v="3"/>
    <x v="7"/>
  </r>
  <r>
    <x v="3"/>
    <x v="0"/>
  </r>
  <r>
    <x v="4"/>
    <x v="0"/>
  </r>
  <r>
    <x v="5"/>
    <x v="0"/>
  </r>
  <r>
    <x v="6"/>
    <x v="0"/>
  </r>
  <r>
    <x v="6"/>
    <x v="6"/>
  </r>
  <r>
    <x v="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E3:E11" firstHeaderRow="1" firstDataRow="1" firstDataCol="1"/>
  <pivotFields count="2">
    <pivotField axis="axisRow" showAll="0">
      <items count="8">
        <item sd="0" x="0"/>
        <item sd="0" x="4"/>
        <item sd="0" x="1"/>
        <item sd="0" x="3"/>
        <item sd="0" x="2"/>
        <item sd="0" x="5"/>
        <item sd="0" x="6"/>
        <item t="default"/>
      </items>
    </pivotField>
    <pivotField axis="axisRow" showAll="0">
      <items count="10">
        <item x="5"/>
        <item x="7"/>
        <item x="1"/>
        <item x="0"/>
        <item x="4"/>
        <item x="3"/>
        <item x="8"/>
        <item x="6"/>
        <item x="2"/>
        <item t="default"/>
      </items>
    </pivotField>
  </pivotFields>
  <rowFields count="2">
    <field x="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formats count="8">
    <format dxfId="7">
      <pivotArea dataOnly="0" labelOnly="1" fieldPosition="0">
        <references count="1">
          <reference field="0" count="1">
            <x v="0"/>
          </reference>
        </references>
      </pivotArea>
    </format>
    <format dxfId="6">
      <pivotArea dataOnly="0" labelOnly="1" fieldPosition="0">
        <references count="1">
          <reference field="0" count="1">
            <x v="0"/>
          </reference>
        </references>
      </pivotArea>
    </format>
    <format dxfId="5">
      <pivotArea dataOnly="0" labelOnly="1" fieldPosition="0">
        <references count="1">
          <reference field="0" count="1">
            <x v="2"/>
          </reference>
        </references>
      </pivotArea>
    </format>
    <format dxfId="4">
      <pivotArea dataOnly="0" fieldPosition="0">
        <references count="1">
          <reference field="0" count="1">
            <x v="1"/>
          </reference>
        </references>
      </pivotArea>
    </format>
    <format dxfId="3">
      <pivotArea dataOnly="0" labelOnly="1" fieldPosition="0">
        <references count="1">
          <reference field="0" count="1">
            <x v="3"/>
          </reference>
        </references>
      </pivotArea>
    </format>
    <format dxfId="2">
      <pivotArea dataOnly="0" labelOnly="1" fieldPosition="0">
        <references count="1">
          <reference field="0" count="1">
            <x v="4"/>
          </reference>
        </references>
      </pivotArea>
    </format>
    <format dxfId="1">
      <pivotArea dataOnly="0" labelOnly="1" fieldPosition="0">
        <references count="1">
          <reference field="0" count="1">
            <x v="5"/>
          </reference>
        </references>
      </pivotArea>
    </format>
    <format dxfId="0">
      <pivotArea dataOnly="0" fieldPosition="0">
        <references count="1">
          <reference field="0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INVENTARIO" displayName="INVENTARIO" ref="B2:L282" dataDxfId="37">
  <autoFilter ref="B2:L282"/>
  <sortState ref="B3:L390">
    <sortCondition ref="D2:D241"/>
  </sortState>
  <tableColumns count="11">
    <tableColumn id="1" name="CATEGORIA" totalsRowLabel="Total" totalsRowDxfId="36"/>
    <tableColumn id="11" name="SUBCATEGORIA" totalsRowDxfId="35"/>
    <tableColumn id="2" name="DESCRIPCION" dataDxfId="34"/>
    <tableColumn id="4" name="CATALOGO" dataDxfId="33" totalsRowDxfId="32"/>
    <tableColumn id="3" name="ENTRADAS" dataDxfId="31" totalsRowDxfId="30">
      <calculatedColumnFormula>IFERROR(SUMIFS(ENTRADAS[CANTIDAD],ENTRADAS[Columna1],INVENTARIO[[#This Row],[DESCRIPCION]],ENTRADAS[LOTE],INVENTARIO[[#This Row],[CATALOGO]]),"-")</calculatedColumnFormula>
    </tableColumn>
    <tableColumn id="5" name="SALIDAS" totalsRowFunction="average" dataDxfId="29" totalsRowDxfId="28">
      <calculatedColumnFormula>IFERROR(SUMIFS(SALIDAS[CANTIDAD],SALIDAS[DESCRIPCION],INVENTARIO[[#This Row],[DESCRIPCION]],SALIDAS[LOTE],INVENTARIO[[#This Row],[CATALOGO]]),"-")</calculatedColumnFormula>
    </tableColumn>
    <tableColumn id="10" name="STOCK IDEAL" dataDxfId="27" totalsRowDxfId="26"/>
    <tableColumn id="9" name="MINIMO" dataDxfId="25" totalsRowDxfId="24"/>
    <tableColumn id="6" name="STOCK ACTUAL" totalsRowFunction="sum" dataDxfId="23" totalsRowDxfId="22">
      <calculatedColumnFormula>INVENTARIO[[#This Row],[ENTRADAS]]-INVENTARIO[[#This Row],[SALIDAS]]</calculatedColumnFormula>
    </tableColumn>
    <tableColumn id="7" name="COSTO UNITARIO" totalsRowFunction="sum" dataDxfId="21" totalsRowDxfId="20"/>
    <tableColumn id="8" name="IMPORTE INVENTARIO" totalsRowFunction="sum" dataDxfId="19" totalsRowDxfId="18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TRADAS" displayName="ENTRADAS" ref="A2:F40" totalsRowShown="0">
  <autoFilter ref="A2:F40"/>
  <tableColumns count="6">
    <tableColumn id="1" name="NO DOCUMENTO" dataDxfId="17"/>
    <tableColumn id="2" name="FECHA"/>
    <tableColumn id="3" name="CODIGO PRODUCTO" dataDxfId="16"/>
    <tableColumn id="4" name="Columna1" dataDxfId="15">
      <calculatedColumnFormula>IFERROR(VLOOKUP(ENTRADAS[[#This Row],[CODIGO PRODUCTO]],INVENTARIO[],2,FALSE),"-")</calculatedColumnFormula>
    </tableColumn>
    <tableColumn id="5" name="LOTE" dataDxfId="14">
      <calculatedColumnFormula>IFERROR(VLOOKUP(ENTRADAS[[#This Row],[CODIGO PRODUCTO]],INVENTARIO[],3,FALSE),"-")</calculatedColumnFormula>
    </tableColumn>
    <tableColumn id="6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IDAS" displayName="SALIDAS" ref="A2:G3" totalsRowShown="0">
  <autoFilter ref="A2:G3"/>
  <tableColumns count="7">
    <tableColumn id="2" name="NO DOCUMENTO" dataDxfId="13"/>
    <tableColumn id="4" name="FECHA." dataDxfId="12"/>
    <tableColumn id="5" name="CODIGO PRODUCTO" dataDxfId="11"/>
    <tableColumn id="6" name="DESCRIPCION" dataDxfId="10">
      <calculatedColumnFormula>IFERROR(VLOOKUP(SALIDAS[CODIGO PRODUCTO],INVENTARIO[],2,FALSE),"-")</calculatedColumnFormula>
    </tableColumn>
    <tableColumn id="10" name="QUIEN RETIRA" dataDxfId="9"/>
    <tableColumn id="7" name="LOTE" dataDxfId="8">
      <calculatedColumnFormula>IFERROR(VLOOKUP(SALIDAS[CODIGO PRODUCTO],INVENTARIO[],3,FALSE),"-")</calculatedColumnFormula>
    </tableColumn>
    <tableColumn id="8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282"/>
  <sheetViews>
    <sheetView tabSelected="1" zoomScale="178" zoomScaleNormal="178" workbookViewId="0">
      <selection activeCell="C3" sqref="C3"/>
    </sheetView>
  </sheetViews>
  <sheetFormatPr baseColWidth="10" defaultRowHeight="15" x14ac:dyDescent="0.25"/>
  <cols>
    <col min="2" max="2" width="24.85546875" bestFit="1" customWidth="1"/>
    <col min="3" max="3" width="24.85546875" customWidth="1"/>
    <col min="4" max="4" width="46.7109375" bestFit="1" customWidth="1"/>
    <col min="5" max="5" width="17.140625" bestFit="1" customWidth="1"/>
    <col min="6" max="6" width="14.5703125" customWidth="1"/>
    <col min="7" max="7" width="10.5703125" bestFit="1" customWidth="1"/>
    <col min="8" max="9" width="10.5703125" customWidth="1"/>
    <col min="10" max="10" width="16.42578125" bestFit="1" customWidth="1"/>
    <col min="11" max="11" width="18.7109375" bestFit="1" customWidth="1"/>
    <col min="12" max="12" width="23.140625" style="11" bestFit="1" customWidth="1"/>
  </cols>
  <sheetData>
    <row r="1" spans="1:12" ht="51" customHeight="1" x14ac:dyDescent="0.25"/>
    <row r="2" spans="1:12" ht="24.95" customHeight="1" x14ac:dyDescent="0.25">
      <c r="A2" s="20" t="s">
        <v>329</v>
      </c>
      <c r="B2" t="s">
        <v>253</v>
      </c>
      <c r="C2" t="s">
        <v>325</v>
      </c>
      <c r="D2" t="s">
        <v>0</v>
      </c>
      <c r="E2" t="s">
        <v>252</v>
      </c>
      <c r="F2" s="6" t="s">
        <v>2</v>
      </c>
      <c r="G2" s="6" t="s">
        <v>3</v>
      </c>
      <c r="H2" s="6" t="s">
        <v>112</v>
      </c>
      <c r="I2" s="6" t="s">
        <v>110</v>
      </c>
      <c r="J2" s="6" t="s">
        <v>78</v>
      </c>
      <c r="K2" s="1" t="s">
        <v>4</v>
      </c>
      <c r="L2" s="29" t="s">
        <v>5</v>
      </c>
    </row>
    <row r="3" spans="1:12" x14ac:dyDescent="0.25">
      <c r="A3" s="28">
        <v>1</v>
      </c>
      <c r="B3" s="13" t="s">
        <v>309</v>
      </c>
      <c r="C3" s="13" t="s">
        <v>340</v>
      </c>
      <c r="D3" s="12" t="s">
        <v>249</v>
      </c>
      <c r="E3" s="21"/>
      <c r="F3" s="6">
        <f>IFERROR(SUMIFS(ENTRADAS[CANTIDAD],ENTRADAS[Columna1],INVENTARIO[[#This Row],[DESCRIPCION]],ENTRADAS[LOTE],INVENTARIO[[#This Row],[CATALOGO]]),"-")</f>
        <v>0</v>
      </c>
      <c r="G3" s="6">
        <f>IFERROR(SUMIFS(SALIDAS[CANTIDAD],SALIDAS[DESCRIPCION],INVENTARIO[[#This Row],[DESCRIPCION]],SALIDAS[LOTE],INVENTARIO[[#This Row],[CATALOGO]]),"-")</f>
        <v>0</v>
      </c>
      <c r="H3" s="6"/>
      <c r="I3" s="6"/>
      <c r="J3" s="6">
        <f>INVENTARIO[[#This Row],[ENTRADAS]]-INVENTARIO[[#This Row],[SALIDAS]]</f>
        <v>0</v>
      </c>
      <c r="K3" s="5"/>
      <c r="L3" s="10"/>
    </row>
    <row r="4" spans="1:12" x14ac:dyDescent="0.25">
      <c r="A4" s="28">
        <v>2</v>
      </c>
      <c r="B4" s="13" t="s">
        <v>313</v>
      </c>
      <c r="C4" s="13" t="s">
        <v>341</v>
      </c>
      <c r="D4" s="15" t="s">
        <v>248</v>
      </c>
      <c r="E4" s="21"/>
      <c r="F4" s="14">
        <f>IFERROR(SUMIFS(ENTRADAS[CANTIDAD],ENTRADAS[Columna1],INVENTARIO[[#This Row],[DESCRIPCION]],ENTRADAS[LOTE],INVENTARIO[[#This Row],[CATALOGO]]),"-")</f>
        <v>0</v>
      </c>
      <c r="G4" s="14">
        <f>IFERROR(SUMIFS(SALIDAS[CANTIDAD],SALIDAS[DESCRIPCION],INVENTARIO[[#This Row],[DESCRIPCION]],SALIDAS[LOTE],INVENTARIO[[#This Row],[CATALOGO]]),"-")</f>
        <v>0</v>
      </c>
      <c r="H4" s="6"/>
      <c r="I4" s="6"/>
      <c r="J4" s="14">
        <f>INVENTARIO[[#This Row],[ENTRADAS]]-INVENTARIO[[#This Row],[SALIDAS]]</f>
        <v>0</v>
      </c>
      <c r="K4" s="5"/>
      <c r="L4" s="10"/>
    </row>
    <row r="5" spans="1:12" x14ac:dyDescent="0.25">
      <c r="A5" s="28">
        <v>3</v>
      </c>
      <c r="B5" s="13" t="s">
        <v>310</v>
      </c>
      <c r="C5" s="13" t="s">
        <v>342</v>
      </c>
      <c r="D5" s="12" t="s">
        <v>247</v>
      </c>
      <c r="E5" s="21"/>
      <c r="F5" s="14">
        <f>IFERROR(SUMIFS(ENTRADAS[CANTIDAD],ENTRADAS[Columna1],INVENTARIO[[#This Row],[DESCRIPCION]],ENTRADAS[LOTE],INVENTARIO[[#This Row],[CATALOGO]]),"-")</f>
        <v>0</v>
      </c>
      <c r="G5" s="14">
        <f>IFERROR(SUMIFS(SALIDAS[CANTIDAD],SALIDAS[DESCRIPCION],INVENTARIO[[#This Row],[DESCRIPCION]],SALIDAS[LOTE],INVENTARIO[[#This Row],[CATALOGO]]),"-")</f>
        <v>0</v>
      </c>
      <c r="H5" s="6"/>
      <c r="I5" s="6"/>
      <c r="J5" s="14">
        <f>INVENTARIO[[#This Row],[ENTRADAS]]-INVENTARIO[[#This Row],[SALIDAS]]</f>
        <v>0</v>
      </c>
      <c r="K5" s="5"/>
      <c r="L5" s="10"/>
    </row>
    <row r="6" spans="1:12" x14ac:dyDescent="0.25">
      <c r="A6" s="28">
        <v>4</v>
      </c>
      <c r="B6" s="13" t="s">
        <v>312</v>
      </c>
      <c r="C6" s="13" t="s">
        <v>343</v>
      </c>
      <c r="D6" s="15" t="s">
        <v>254</v>
      </c>
      <c r="E6" s="21"/>
      <c r="F6" s="14">
        <f>IFERROR(SUMIFS(ENTRADAS[CANTIDAD],ENTRADAS[Columna1],INVENTARIO[[#This Row],[DESCRIPCION]],ENTRADAS[LOTE],INVENTARIO[[#This Row],[CATALOGO]]),"-")</f>
        <v>0</v>
      </c>
      <c r="G6" s="14">
        <f>IFERROR(SUMIFS(SALIDAS[CANTIDAD],SALIDAS[DESCRIPCION],INVENTARIO[[#This Row],[DESCRIPCION]],SALIDAS[LOTE],INVENTARIO[[#This Row],[CATALOGO]]),"-")</f>
        <v>0</v>
      </c>
      <c r="H6" s="6"/>
      <c r="I6" s="6"/>
      <c r="J6" s="14">
        <f>INVENTARIO[[#This Row],[ENTRADAS]]-INVENTARIO[[#This Row],[SALIDAS]]</f>
        <v>0</v>
      </c>
      <c r="K6" s="5"/>
      <c r="L6" s="10"/>
    </row>
    <row r="7" spans="1:12" x14ac:dyDescent="0.25">
      <c r="A7" s="28">
        <v>5</v>
      </c>
      <c r="B7" s="13" t="s">
        <v>311</v>
      </c>
      <c r="C7" s="13" t="s">
        <v>355</v>
      </c>
      <c r="D7" s="12" t="s">
        <v>16</v>
      </c>
      <c r="E7" s="21"/>
      <c r="F7" s="6">
        <f>IFERROR(SUMIFS(ENTRADAS[CANTIDAD],ENTRADAS[Columna1],INVENTARIO[[#This Row],[DESCRIPCION]],ENTRADAS[LOTE],INVENTARIO[[#This Row],[CATALOGO]]),"-")</f>
        <v>0</v>
      </c>
      <c r="G7" s="6">
        <f>IFERROR(SUMIFS(SALIDAS[CANTIDAD],SALIDAS[DESCRIPCION],INVENTARIO[[#This Row],[DESCRIPCION]],SALIDAS[LOTE],INVENTARIO[[#This Row],[CATALOGO]]),"-")</f>
        <v>0</v>
      </c>
      <c r="H7" s="6"/>
      <c r="I7" s="6"/>
      <c r="J7" s="6">
        <f>INVENTARIO[[#This Row],[ENTRADAS]]-INVENTARIO[[#This Row],[SALIDAS]]</f>
        <v>0</v>
      </c>
      <c r="K7" s="5"/>
      <c r="L7" s="10"/>
    </row>
    <row r="8" spans="1:12" x14ac:dyDescent="0.25">
      <c r="A8" s="28">
        <v>6</v>
      </c>
      <c r="B8" s="13" t="s">
        <v>314</v>
      </c>
      <c r="C8" s="13" t="s">
        <v>338</v>
      </c>
      <c r="D8" s="15" t="s">
        <v>80</v>
      </c>
      <c r="E8" s="21"/>
      <c r="F8" s="6">
        <v>0</v>
      </c>
      <c r="G8" s="6">
        <v>0</v>
      </c>
      <c r="H8" s="6">
        <v>0</v>
      </c>
      <c r="I8" s="6">
        <v>0</v>
      </c>
      <c r="J8" s="6">
        <f>INVENTARIO[[#This Row],[ENTRADAS]]-INVENTARIO[[#This Row],[SALIDAS]]</f>
        <v>0</v>
      </c>
      <c r="K8" s="5"/>
      <c r="L8" s="10"/>
    </row>
    <row r="9" spans="1:12" x14ac:dyDescent="0.25">
      <c r="A9" s="28">
        <v>7</v>
      </c>
      <c r="B9" s="13" t="s">
        <v>315</v>
      </c>
      <c r="C9" s="13" t="s">
        <v>346</v>
      </c>
      <c r="D9" s="12" t="s">
        <v>33</v>
      </c>
      <c r="E9" s="21"/>
      <c r="F9" s="6">
        <v>0</v>
      </c>
      <c r="G9" s="6">
        <f>IFERROR(SUMIFS(SALIDAS[CANTIDAD],SALIDAS[DESCRIPCION],INVENTARIO[[#This Row],[DESCRIPCION]],SALIDAS[LOTE],INVENTARIO[[#This Row],[CATALOGO]]),"-")</f>
        <v>0</v>
      </c>
      <c r="H9" s="6">
        <v>0</v>
      </c>
      <c r="I9" s="6">
        <v>0</v>
      </c>
      <c r="J9" s="6">
        <f>INVENTARIO[[#This Row],[ENTRADAS]]-INVENTARIO[[#This Row],[SALIDAS]]</f>
        <v>0</v>
      </c>
      <c r="K9" s="5"/>
      <c r="L9" s="10"/>
    </row>
    <row r="10" spans="1:12" x14ac:dyDescent="0.25">
      <c r="A10" s="28">
        <v>8</v>
      </c>
      <c r="B10" s="15"/>
      <c r="C10" s="15"/>
      <c r="D10" s="15" t="s">
        <v>29</v>
      </c>
      <c r="E10" s="21"/>
      <c r="F10" s="6">
        <v>0</v>
      </c>
      <c r="G10" s="6">
        <v>0</v>
      </c>
      <c r="H10" s="6">
        <v>0</v>
      </c>
      <c r="I10" s="6">
        <v>0</v>
      </c>
      <c r="J10" s="6">
        <f>INVENTARIO[[#This Row],[ENTRADAS]]-INVENTARIO[[#This Row],[SALIDAS]]</f>
        <v>0</v>
      </c>
      <c r="K10" s="5"/>
      <c r="L10" s="10"/>
    </row>
    <row r="11" spans="1:12" x14ac:dyDescent="0.25">
      <c r="A11" s="28">
        <v>9</v>
      </c>
      <c r="B11" s="15"/>
      <c r="C11" s="13"/>
      <c r="D11" s="12" t="s">
        <v>255</v>
      </c>
      <c r="E11" s="21"/>
      <c r="F11" s="14">
        <f>IFERROR(SUMIFS(ENTRADAS[CANTIDAD],ENTRADAS[Columna1],INVENTARIO[[#This Row],[DESCRIPCION]],ENTRADAS[LOTE],INVENTARIO[[#This Row],[CATALOGO]]),"-")</f>
        <v>0</v>
      </c>
      <c r="G11" s="14">
        <f>IFERROR(SUMIFS(SALIDAS[CANTIDAD],SALIDAS[DESCRIPCION],INVENTARIO[[#This Row],[DESCRIPCION]],SALIDAS[LOTE],INVENTARIO[[#This Row],[CATALOGO]]),"-")</f>
        <v>0</v>
      </c>
      <c r="H11" s="6"/>
      <c r="I11" s="6"/>
      <c r="J11" s="14">
        <f>INVENTARIO[[#This Row],[ENTRADAS]]-INVENTARIO[[#This Row],[SALIDAS]]</f>
        <v>0</v>
      </c>
      <c r="K11" s="5"/>
      <c r="L11" s="10"/>
    </row>
    <row r="12" spans="1:12" x14ac:dyDescent="0.25">
      <c r="A12" s="28">
        <v>10</v>
      </c>
      <c r="B12" s="15"/>
      <c r="C12" s="15"/>
      <c r="D12" s="15" t="s">
        <v>43</v>
      </c>
      <c r="E12" s="21"/>
      <c r="F12" s="6">
        <f>IFERROR(SUMIFS(ENTRADAS[CANTIDAD],ENTRADAS[Columna1],INVENTARIO[[#This Row],[DESCRIPCION]],ENTRADAS[LOTE],INVENTARIO[[#This Row],[CATALOGO]]),"-")</f>
        <v>0</v>
      </c>
      <c r="G12" s="6">
        <f>IFERROR(SUMIFS(SALIDAS[CANTIDAD],SALIDAS[DESCRIPCION],INVENTARIO[[#This Row],[DESCRIPCION]],SALIDAS[LOTE],INVENTARIO[[#This Row],[CATALOGO]]),"-")</f>
        <v>0</v>
      </c>
      <c r="H12" s="6"/>
      <c r="I12" s="6">
        <v>0</v>
      </c>
      <c r="J12" s="6">
        <f>INVENTARIO[[#This Row],[ENTRADAS]]-INVENTARIO[[#This Row],[SALIDAS]]</f>
        <v>0</v>
      </c>
      <c r="K12" s="5"/>
      <c r="L12" s="10"/>
    </row>
    <row r="13" spans="1:12" x14ac:dyDescent="0.25">
      <c r="A13" s="28">
        <v>11</v>
      </c>
      <c r="B13" s="15"/>
      <c r="C13" s="13"/>
      <c r="D13" s="12" t="s">
        <v>68</v>
      </c>
      <c r="E13" s="21"/>
      <c r="F13" s="6">
        <f>IFERROR(SUMIFS(ENTRADAS[CANTIDAD],ENTRADAS[Columna1],INVENTARIO[[#This Row],[DESCRIPCION]],ENTRADAS[LOTE],INVENTARIO[[#This Row],[CATALOGO]]),"-")</f>
        <v>0</v>
      </c>
      <c r="G13" s="6">
        <f>IFERROR(SUMIFS(SALIDAS[CANTIDAD],SALIDAS[DESCRIPCION],INVENTARIO[[#This Row],[DESCRIPCION]],SALIDAS[LOTE],INVENTARIO[[#This Row],[CATALOGO]]),"-")</f>
        <v>0</v>
      </c>
      <c r="H13" s="6"/>
      <c r="I13" s="6">
        <v>0</v>
      </c>
      <c r="J13" s="6">
        <f>INVENTARIO[[#This Row],[ENTRADAS]]-INVENTARIO[[#This Row],[SALIDAS]]</f>
        <v>0</v>
      </c>
      <c r="K13" s="5"/>
      <c r="L13" s="10"/>
    </row>
    <row r="14" spans="1:12" x14ac:dyDescent="0.25">
      <c r="A14" s="28">
        <v>12</v>
      </c>
      <c r="B14" s="15"/>
      <c r="C14" s="15"/>
      <c r="D14" s="15" t="s">
        <v>35</v>
      </c>
      <c r="E14" s="21"/>
      <c r="F14" s="6">
        <f>IFERROR(SUMIFS(ENTRADAS[CANTIDAD],ENTRADAS[Columna1],INVENTARIO[[#This Row],[DESCRIPCION]],ENTRADAS[LOTE],INVENTARIO[[#This Row],[CATALOGO]]),"-")</f>
        <v>0</v>
      </c>
      <c r="G14" s="6">
        <f>IFERROR(SUMIFS(SALIDAS[CANTIDAD],SALIDAS[DESCRIPCION],INVENTARIO[[#This Row],[DESCRIPCION]],SALIDAS[LOTE],INVENTARIO[[#This Row],[CATALOGO]]),"-")</f>
        <v>0</v>
      </c>
      <c r="H14" s="6">
        <v>0</v>
      </c>
      <c r="I14" s="6">
        <v>0</v>
      </c>
      <c r="J14" s="6">
        <f>INVENTARIO[[#This Row],[ENTRADAS]]-INVENTARIO[[#This Row],[SALIDAS]]</f>
        <v>0</v>
      </c>
      <c r="K14" s="5"/>
      <c r="L14" s="10"/>
    </row>
    <row r="15" spans="1:12" x14ac:dyDescent="0.25">
      <c r="A15" s="28">
        <v>13</v>
      </c>
      <c r="B15" s="15"/>
      <c r="C15" s="13"/>
      <c r="D15" s="12" t="s">
        <v>251</v>
      </c>
      <c r="E15" s="21"/>
      <c r="F15" s="14">
        <f>IFERROR(SUMIFS(ENTRADAS[CANTIDAD],ENTRADAS[Columna1],INVENTARIO[[#This Row],[DESCRIPCION]],ENTRADAS[LOTE],INVENTARIO[[#This Row],[CATALOGO]]),"-")</f>
        <v>0</v>
      </c>
      <c r="G15" s="14">
        <f>IFERROR(SUMIFS(SALIDAS[CANTIDAD],SALIDAS[DESCRIPCION],INVENTARIO[[#This Row],[DESCRIPCION]],SALIDAS[LOTE],INVENTARIO[[#This Row],[CATALOGO]]),"-")</f>
        <v>0</v>
      </c>
      <c r="H15" s="6"/>
      <c r="I15" s="6"/>
      <c r="J15" s="14">
        <f>INVENTARIO[[#This Row],[ENTRADAS]]-INVENTARIO[[#This Row],[SALIDAS]]</f>
        <v>0</v>
      </c>
      <c r="K15" s="5"/>
      <c r="L15" s="10"/>
    </row>
    <row r="16" spans="1:12" x14ac:dyDescent="0.25">
      <c r="A16" s="28">
        <v>14</v>
      </c>
      <c r="B16" s="15"/>
      <c r="C16" s="15"/>
      <c r="D16" s="15" t="s">
        <v>12</v>
      </c>
      <c r="E16" s="21"/>
      <c r="F16" s="6">
        <f>IFERROR(SUMIFS(ENTRADAS[CANTIDAD],ENTRADAS[Columna1],INVENTARIO[[#This Row],[DESCRIPCION]],ENTRADAS[LOTE],INVENTARIO[[#This Row],[CATALOGO]]),"-")</f>
        <v>0</v>
      </c>
      <c r="G16" s="6">
        <f>IFERROR(SUMIFS(SALIDAS[CANTIDAD],SALIDAS[DESCRIPCION],INVENTARIO[[#This Row],[DESCRIPCION]],SALIDAS[LOTE],INVENTARIO[[#This Row],[CATALOGO]]),"-")</f>
        <v>0</v>
      </c>
      <c r="H16" s="6"/>
      <c r="I16" s="6"/>
      <c r="J16" s="6">
        <f>INVENTARIO[[#This Row],[ENTRADAS]]-INVENTARIO[[#This Row],[SALIDAS]]</f>
        <v>0</v>
      </c>
      <c r="K16" s="5"/>
      <c r="L16" s="10"/>
    </row>
    <row r="17" spans="1:12" x14ac:dyDescent="0.25">
      <c r="A17" s="28">
        <v>15</v>
      </c>
      <c r="B17" s="15"/>
      <c r="C17" s="13"/>
      <c r="D17" s="12" t="s">
        <v>250</v>
      </c>
      <c r="E17" s="21"/>
      <c r="F17" s="14">
        <f>IFERROR(SUMIFS(ENTRADAS[CANTIDAD],ENTRADAS[Columna1],INVENTARIO[[#This Row],[DESCRIPCION]],ENTRADAS[LOTE],INVENTARIO[[#This Row],[CATALOGO]]),"-")</f>
        <v>0</v>
      </c>
      <c r="G17" s="14">
        <f>IFERROR(SUMIFS(SALIDAS[CANTIDAD],SALIDAS[DESCRIPCION],INVENTARIO[[#This Row],[DESCRIPCION]],SALIDAS[LOTE],INVENTARIO[[#This Row],[CATALOGO]]),"-")</f>
        <v>0</v>
      </c>
      <c r="H17" s="6"/>
      <c r="I17" s="6"/>
      <c r="J17" s="14">
        <f>INVENTARIO[[#This Row],[ENTRADAS]]-INVENTARIO[[#This Row],[SALIDAS]]</f>
        <v>0</v>
      </c>
      <c r="K17" s="5"/>
      <c r="L17" s="10"/>
    </row>
    <row r="18" spans="1:12" x14ac:dyDescent="0.25">
      <c r="A18" s="28">
        <v>16</v>
      </c>
      <c r="B18" s="15"/>
      <c r="C18" s="15"/>
      <c r="D18" s="15" t="s">
        <v>109</v>
      </c>
      <c r="E18" s="21"/>
      <c r="F18" s="6">
        <f>IFERROR(SUMIFS(ENTRADAS[CANTIDAD],ENTRADAS[Columna1],INVENTARIO[[#This Row],[DESCRIPCION]],ENTRADAS[LOTE],INVENTARIO[[#This Row],[CATALOGO]]),"-")</f>
        <v>0</v>
      </c>
      <c r="G18" s="6">
        <f>IFERROR(SUMIFS(SALIDAS[CANTIDAD],SALIDAS[DESCRIPCION],INVENTARIO[[#This Row],[DESCRIPCION]],SALIDAS[LOTE],INVENTARIO[[#This Row],[CATALOGO]]),"-")</f>
        <v>0</v>
      </c>
      <c r="H18" s="6"/>
      <c r="I18" s="6"/>
      <c r="J18" s="6">
        <f>INVENTARIO[[#This Row],[ENTRADAS]]-INVENTARIO[[#This Row],[SALIDAS]]</f>
        <v>0</v>
      </c>
      <c r="K18" s="5"/>
      <c r="L18" s="10"/>
    </row>
    <row r="19" spans="1:12" x14ac:dyDescent="0.25">
      <c r="A19" s="28">
        <v>17</v>
      </c>
      <c r="B19" s="15"/>
      <c r="C19" s="13"/>
      <c r="D19" s="12" t="s">
        <v>45</v>
      </c>
      <c r="E19" s="21"/>
      <c r="F19" s="6">
        <v>0</v>
      </c>
      <c r="G19" s="6">
        <v>0</v>
      </c>
      <c r="H19" s="6">
        <v>0</v>
      </c>
      <c r="I19" s="6">
        <v>0</v>
      </c>
      <c r="J19" s="6">
        <f>INVENTARIO[[#This Row],[ENTRADAS]]-INVENTARIO[[#This Row],[SALIDAS]]</f>
        <v>0</v>
      </c>
      <c r="K19" s="5"/>
      <c r="L19" s="10"/>
    </row>
    <row r="20" spans="1:12" x14ac:dyDescent="0.25">
      <c r="A20" s="28">
        <v>18</v>
      </c>
      <c r="B20" s="15"/>
      <c r="C20" s="15"/>
      <c r="D20" s="15" t="s">
        <v>234</v>
      </c>
      <c r="E20" s="21"/>
      <c r="F20" s="14">
        <f>IFERROR(SUMIFS(ENTRADAS[CANTIDAD],ENTRADAS[Columna1],INVENTARIO[[#This Row],[DESCRIPCION]],ENTRADAS[LOTE],INVENTARIO[[#This Row],[CATALOGO]]),"-")</f>
        <v>0</v>
      </c>
      <c r="G20" s="14">
        <f>IFERROR(SUMIFS(SALIDAS[CANTIDAD],SALIDAS[DESCRIPCION],INVENTARIO[[#This Row],[DESCRIPCION]],SALIDAS[LOTE],INVENTARIO[[#This Row],[CATALOGO]]),"-")</f>
        <v>0</v>
      </c>
      <c r="H20" s="6"/>
      <c r="I20" s="6"/>
      <c r="J20" s="14">
        <f>INVENTARIO[[#This Row],[ENTRADAS]]-INVENTARIO[[#This Row],[SALIDAS]]</f>
        <v>0</v>
      </c>
      <c r="K20" s="5"/>
      <c r="L20" s="10"/>
    </row>
    <row r="21" spans="1:12" x14ac:dyDescent="0.25">
      <c r="A21" s="28">
        <v>19</v>
      </c>
      <c r="B21" s="15"/>
      <c r="C21" s="13"/>
      <c r="D21" s="12" t="s">
        <v>63</v>
      </c>
      <c r="E21" s="21"/>
      <c r="F21" s="6">
        <f>IFERROR(SUMIFS(ENTRADAS[CANTIDAD],ENTRADAS[Columna1],INVENTARIO[[#This Row],[DESCRIPCION]],ENTRADAS[LOTE],INVENTARIO[[#This Row],[CATALOGO]]),"-")</f>
        <v>0</v>
      </c>
      <c r="G21" s="6">
        <f>IFERROR(SUMIFS(SALIDAS[CANTIDAD],SALIDAS[DESCRIPCION],INVENTARIO[[#This Row],[DESCRIPCION]],SALIDAS[LOTE],INVENTARIO[[#This Row],[CATALOGO]]),"-")</f>
        <v>0</v>
      </c>
      <c r="H21" s="6"/>
      <c r="I21" s="6"/>
      <c r="J21" s="6">
        <f>INVENTARIO[[#This Row],[ENTRADAS]]-INVENTARIO[[#This Row],[SALIDAS]]</f>
        <v>0</v>
      </c>
      <c r="K21" s="5"/>
      <c r="L21" s="10"/>
    </row>
    <row r="22" spans="1:12" x14ac:dyDescent="0.25">
      <c r="A22" s="28">
        <v>20</v>
      </c>
      <c r="B22" s="15"/>
      <c r="C22" s="15"/>
      <c r="D22" s="15" t="s">
        <v>59</v>
      </c>
      <c r="E22" s="21"/>
      <c r="F22" s="6">
        <f>IFERROR(SUMIFS(ENTRADAS[CANTIDAD],ENTRADAS[Columna1],INVENTARIO[[#This Row],[DESCRIPCION]],ENTRADAS[LOTE],INVENTARIO[[#This Row],[CATALOGO]]),"-")</f>
        <v>0</v>
      </c>
      <c r="G22" s="6">
        <f>IFERROR(SUMIFS(SALIDAS[CANTIDAD],SALIDAS[DESCRIPCION],INVENTARIO[[#This Row],[DESCRIPCION]],SALIDAS[LOTE],INVENTARIO[[#This Row],[CATALOGO]]),"-")</f>
        <v>0</v>
      </c>
      <c r="H22" s="6"/>
      <c r="I22" s="6"/>
      <c r="J22" s="6">
        <f>INVENTARIO[[#This Row],[ENTRADAS]]-INVENTARIO[[#This Row],[SALIDAS]]</f>
        <v>0</v>
      </c>
      <c r="K22" s="5"/>
      <c r="L22" s="10"/>
    </row>
    <row r="23" spans="1:12" x14ac:dyDescent="0.25">
      <c r="A23" s="28">
        <v>21</v>
      </c>
      <c r="B23" s="15"/>
      <c r="C23" s="13"/>
      <c r="D23" s="12" t="s">
        <v>197</v>
      </c>
      <c r="E23" s="21"/>
      <c r="F23" s="14">
        <f>IFERROR(SUMIFS(ENTRADAS[CANTIDAD],ENTRADAS[Columna1],INVENTARIO[[#This Row],[DESCRIPCION]],ENTRADAS[LOTE],INVENTARIO[[#This Row],[CATALOGO]]),"-")</f>
        <v>0</v>
      </c>
      <c r="G23" s="14">
        <f>IFERROR(SUMIFS(SALIDAS[CANTIDAD],SALIDAS[DESCRIPCION],INVENTARIO[[#This Row],[DESCRIPCION]],SALIDAS[LOTE],INVENTARIO[[#This Row],[CATALOGO]]),"-")</f>
        <v>0</v>
      </c>
      <c r="H23" s="6"/>
      <c r="I23" s="6"/>
      <c r="J23" s="14">
        <f>INVENTARIO[[#This Row],[ENTRADAS]]-INVENTARIO[[#This Row],[SALIDAS]]</f>
        <v>0</v>
      </c>
      <c r="K23" s="5"/>
      <c r="L23" s="10"/>
    </row>
    <row r="24" spans="1:12" x14ac:dyDescent="0.25">
      <c r="A24" s="28">
        <v>22</v>
      </c>
      <c r="B24" s="15"/>
      <c r="C24" s="15"/>
      <c r="D24" s="15" t="s">
        <v>198</v>
      </c>
      <c r="E24" s="21"/>
      <c r="F24" s="14">
        <f>IFERROR(SUMIFS(ENTRADAS[CANTIDAD],ENTRADAS[Columna1],INVENTARIO[[#This Row],[DESCRIPCION]],ENTRADAS[LOTE],INVENTARIO[[#This Row],[CATALOGO]]),"-")</f>
        <v>0</v>
      </c>
      <c r="G24" s="14">
        <f>IFERROR(SUMIFS(SALIDAS[CANTIDAD],SALIDAS[DESCRIPCION],INVENTARIO[[#This Row],[DESCRIPCION]],SALIDAS[LOTE],INVENTARIO[[#This Row],[CATALOGO]]),"-")</f>
        <v>0</v>
      </c>
      <c r="H24" s="6"/>
      <c r="I24" s="6"/>
      <c r="J24" s="14">
        <f>INVENTARIO[[#This Row],[ENTRADAS]]-INVENTARIO[[#This Row],[SALIDAS]]</f>
        <v>0</v>
      </c>
      <c r="K24" s="5"/>
      <c r="L24" s="10"/>
    </row>
    <row r="25" spans="1:12" x14ac:dyDescent="0.25">
      <c r="A25" s="28">
        <v>23</v>
      </c>
      <c r="B25" s="15"/>
      <c r="C25" s="13"/>
      <c r="D25" s="12" t="s">
        <v>81</v>
      </c>
      <c r="E25" s="21"/>
      <c r="F25" s="6">
        <f>IFERROR(SUMIFS(ENTRADAS[CANTIDAD],ENTRADAS[Columna1],INVENTARIO[[#This Row],[DESCRIPCION]],ENTRADAS[LOTE],INVENTARIO[[#This Row],[CATALOGO]]),"-")</f>
        <v>0</v>
      </c>
      <c r="G25" s="6">
        <f>IFERROR(SUMIFS(SALIDAS[CANTIDAD],SALIDAS[DESCRIPCION],INVENTARIO[[#This Row],[DESCRIPCION]],SALIDAS[LOTE],INVENTARIO[[#This Row],[CATALOGO]]),"-")</f>
        <v>0</v>
      </c>
      <c r="H25" s="6"/>
      <c r="I25" s="6"/>
      <c r="J25" s="6">
        <f>INVENTARIO[[#This Row],[ENTRADAS]]-INVENTARIO[[#This Row],[SALIDAS]]</f>
        <v>0</v>
      </c>
      <c r="K25" s="5"/>
      <c r="L25" s="10"/>
    </row>
    <row r="26" spans="1:12" x14ac:dyDescent="0.25">
      <c r="A26" s="28">
        <v>24</v>
      </c>
      <c r="B26" s="15"/>
      <c r="C26" s="15"/>
      <c r="D26" s="15" t="s">
        <v>163</v>
      </c>
      <c r="E26" s="21"/>
      <c r="F26" s="14">
        <f>IFERROR(SUMIFS(ENTRADAS[CANTIDAD],ENTRADAS[Columna1],INVENTARIO[[#This Row],[DESCRIPCION]],ENTRADAS[LOTE],INVENTARIO[[#This Row],[CATALOGO]]),"-")</f>
        <v>0</v>
      </c>
      <c r="G26" s="14">
        <f>IFERROR(SUMIFS(SALIDAS[CANTIDAD],SALIDAS[DESCRIPCION],INVENTARIO[[#This Row],[DESCRIPCION]],SALIDAS[LOTE],INVENTARIO[[#This Row],[CATALOGO]]),"-")</f>
        <v>0</v>
      </c>
      <c r="H26" s="6"/>
      <c r="I26" s="6"/>
      <c r="J26" s="14">
        <f>INVENTARIO[[#This Row],[ENTRADAS]]-INVENTARIO[[#This Row],[SALIDAS]]</f>
        <v>0</v>
      </c>
      <c r="K26" s="5"/>
      <c r="L26" s="10"/>
    </row>
    <row r="27" spans="1:12" x14ac:dyDescent="0.25">
      <c r="A27" s="28">
        <v>25</v>
      </c>
      <c r="B27" s="15"/>
      <c r="C27" s="13"/>
      <c r="D27" s="12" t="s">
        <v>75</v>
      </c>
      <c r="E27" s="21"/>
      <c r="F27" s="6">
        <v>0</v>
      </c>
      <c r="G27" s="6">
        <v>0</v>
      </c>
      <c r="H27" s="6">
        <v>0</v>
      </c>
      <c r="I27" s="6">
        <v>0</v>
      </c>
      <c r="J27" s="6">
        <f>INVENTARIO[[#This Row],[ENTRADAS]]-INVENTARIO[[#This Row],[SALIDAS]]</f>
        <v>0</v>
      </c>
      <c r="K27" s="5"/>
      <c r="L27" s="10"/>
    </row>
    <row r="28" spans="1:12" x14ac:dyDescent="0.25">
      <c r="A28" s="28">
        <v>26</v>
      </c>
      <c r="B28" s="15"/>
      <c r="C28" s="15"/>
      <c r="D28" s="15" t="s">
        <v>39</v>
      </c>
      <c r="E28" s="21"/>
      <c r="F28" s="6">
        <f>IFERROR(SUMIFS(ENTRADAS[CANTIDAD],ENTRADAS[Columna1],INVENTARIO[[#This Row],[DESCRIPCION]],ENTRADAS[LOTE],INVENTARIO[[#This Row],[CATALOGO]]),"-")</f>
        <v>0</v>
      </c>
      <c r="G28" s="6">
        <f>IFERROR(SUMIFS(SALIDAS[CANTIDAD],SALIDAS[DESCRIPCION],INVENTARIO[[#This Row],[DESCRIPCION]],SALIDAS[LOTE],INVENTARIO[[#This Row],[CATALOGO]]),"-")</f>
        <v>0</v>
      </c>
      <c r="H28" s="6"/>
      <c r="I28" s="6"/>
      <c r="J28" s="6">
        <f>INVENTARIO[[#This Row],[ENTRADAS]]-INVENTARIO[[#This Row],[SALIDAS]]</f>
        <v>0</v>
      </c>
      <c r="K28" s="5"/>
      <c r="L28" s="10"/>
    </row>
    <row r="29" spans="1:12" x14ac:dyDescent="0.25">
      <c r="A29" s="28">
        <v>27</v>
      </c>
      <c r="B29" s="15"/>
      <c r="C29" s="13"/>
      <c r="D29" s="12" t="s">
        <v>41</v>
      </c>
      <c r="E29" s="21"/>
      <c r="F29" s="6">
        <f>IFERROR(SUMIFS(ENTRADAS[CANTIDAD],ENTRADAS[Columna1],INVENTARIO[[#This Row],[DESCRIPCION]],ENTRADAS[LOTE],INVENTARIO[[#This Row],[CATALOGO]]),"-")</f>
        <v>0</v>
      </c>
      <c r="G29" s="6">
        <f>IFERROR(SUMIFS(SALIDAS[CANTIDAD],SALIDAS[DESCRIPCION],INVENTARIO[[#This Row],[DESCRIPCION]],SALIDAS[LOTE],INVENTARIO[[#This Row],[CATALOGO]]),"-")</f>
        <v>0</v>
      </c>
      <c r="H29" s="6"/>
      <c r="I29" s="6"/>
      <c r="J29" s="6">
        <f>INVENTARIO[[#This Row],[ENTRADAS]]-INVENTARIO[[#This Row],[SALIDAS]]</f>
        <v>0</v>
      </c>
      <c r="K29" s="5"/>
      <c r="L29" s="10"/>
    </row>
    <row r="30" spans="1:12" x14ac:dyDescent="0.25">
      <c r="A30" s="28">
        <v>28</v>
      </c>
      <c r="B30" s="15"/>
      <c r="C30" s="15"/>
      <c r="D30" s="15" t="s">
        <v>204</v>
      </c>
      <c r="E30" s="21"/>
      <c r="F30" s="14">
        <f>IFERROR(SUMIFS(ENTRADAS[CANTIDAD],ENTRADAS[Columna1],INVENTARIO[[#This Row],[DESCRIPCION]],ENTRADAS[LOTE],INVENTARIO[[#This Row],[CATALOGO]]),"-")</f>
        <v>0</v>
      </c>
      <c r="G30" s="14">
        <f>IFERROR(SUMIFS(SALIDAS[CANTIDAD],SALIDAS[DESCRIPCION],INVENTARIO[[#This Row],[DESCRIPCION]],SALIDAS[LOTE],INVENTARIO[[#This Row],[CATALOGO]]),"-")</f>
        <v>0</v>
      </c>
      <c r="H30" s="6"/>
      <c r="I30" s="6"/>
      <c r="J30" s="14">
        <f>INVENTARIO[[#This Row],[ENTRADAS]]-INVENTARIO[[#This Row],[SALIDAS]]</f>
        <v>0</v>
      </c>
      <c r="K30" s="5"/>
      <c r="L30" s="10"/>
    </row>
    <row r="31" spans="1:12" x14ac:dyDescent="0.25">
      <c r="A31" s="28">
        <v>29</v>
      </c>
      <c r="B31" s="15"/>
      <c r="C31" s="13"/>
      <c r="D31" s="12" t="s">
        <v>203</v>
      </c>
      <c r="E31" s="21"/>
      <c r="F31" s="14">
        <f>IFERROR(SUMIFS(ENTRADAS[CANTIDAD],ENTRADAS[Columna1],INVENTARIO[[#This Row],[DESCRIPCION]],ENTRADAS[LOTE],INVENTARIO[[#This Row],[CATALOGO]]),"-")</f>
        <v>0</v>
      </c>
      <c r="G31" s="14">
        <f>IFERROR(SUMIFS(SALIDAS[CANTIDAD],SALIDAS[DESCRIPCION],INVENTARIO[[#This Row],[DESCRIPCION]],SALIDAS[LOTE],INVENTARIO[[#This Row],[CATALOGO]]),"-")</f>
        <v>0</v>
      </c>
      <c r="H31" s="6"/>
      <c r="I31" s="6"/>
      <c r="J31" s="14">
        <f>INVENTARIO[[#This Row],[ENTRADAS]]-INVENTARIO[[#This Row],[SALIDAS]]</f>
        <v>0</v>
      </c>
      <c r="K31" s="5"/>
      <c r="L31" s="10"/>
    </row>
    <row r="32" spans="1:12" x14ac:dyDescent="0.25">
      <c r="A32" s="28">
        <v>30</v>
      </c>
      <c r="B32" s="15"/>
      <c r="C32" s="15"/>
      <c r="D32" s="15" t="s">
        <v>201</v>
      </c>
      <c r="E32" s="21"/>
      <c r="F32" s="14">
        <f>IFERROR(SUMIFS(ENTRADAS[CANTIDAD],ENTRADAS[Columna1],INVENTARIO[[#This Row],[DESCRIPCION]],ENTRADAS[LOTE],INVENTARIO[[#This Row],[CATALOGO]]),"-")</f>
        <v>0</v>
      </c>
      <c r="G32" s="14">
        <f>IFERROR(SUMIFS(SALIDAS[CANTIDAD],SALIDAS[DESCRIPCION],INVENTARIO[[#This Row],[DESCRIPCION]],SALIDAS[LOTE],INVENTARIO[[#This Row],[CATALOGO]]),"-")</f>
        <v>0</v>
      </c>
      <c r="H32" s="6"/>
      <c r="I32" s="6"/>
      <c r="J32" s="14">
        <f>INVENTARIO[[#This Row],[ENTRADAS]]-INVENTARIO[[#This Row],[SALIDAS]]</f>
        <v>0</v>
      </c>
      <c r="K32" s="5"/>
      <c r="L32" s="10"/>
    </row>
    <row r="33" spans="1:12" x14ac:dyDescent="0.25">
      <c r="A33" s="28">
        <v>31</v>
      </c>
      <c r="B33" s="15"/>
      <c r="C33" s="13"/>
      <c r="D33" s="12" t="s">
        <v>200</v>
      </c>
      <c r="E33" s="21"/>
      <c r="F33" s="14">
        <f>IFERROR(SUMIFS(ENTRADAS[CANTIDAD],ENTRADAS[Columna1],INVENTARIO[[#This Row],[DESCRIPCION]],ENTRADAS[LOTE],INVENTARIO[[#This Row],[CATALOGO]]),"-")</f>
        <v>0</v>
      </c>
      <c r="G33" s="14">
        <f>IFERROR(SUMIFS(SALIDAS[CANTIDAD],SALIDAS[DESCRIPCION],INVENTARIO[[#This Row],[DESCRIPCION]],SALIDAS[LOTE],INVENTARIO[[#This Row],[CATALOGO]]),"-")</f>
        <v>0</v>
      </c>
      <c r="H33" s="6"/>
      <c r="I33" s="6"/>
      <c r="J33" s="14">
        <f>INVENTARIO[[#This Row],[ENTRADAS]]-INVENTARIO[[#This Row],[SALIDAS]]</f>
        <v>0</v>
      </c>
      <c r="K33" s="5"/>
      <c r="L33" s="10"/>
    </row>
    <row r="34" spans="1:12" x14ac:dyDescent="0.25">
      <c r="A34" s="28">
        <v>32</v>
      </c>
      <c r="B34" s="15"/>
      <c r="C34" s="15"/>
      <c r="D34" s="15" t="s">
        <v>202</v>
      </c>
      <c r="E34" s="21"/>
      <c r="F34" s="14">
        <f>IFERROR(SUMIFS(ENTRADAS[CANTIDAD],ENTRADAS[Columna1],INVENTARIO[[#This Row],[DESCRIPCION]],ENTRADAS[LOTE],INVENTARIO[[#This Row],[CATALOGO]]),"-")</f>
        <v>0</v>
      </c>
      <c r="G34" s="14">
        <f>IFERROR(SUMIFS(SALIDAS[CANTIDAD],SALIDAS[DESCRIPCION],INVENTARIO[[#This Row],[DESCRIPCION]],SALIDAS[LOTE],INVENTARIO[[#This Row],[CATALOGO]]),"-")</f>
        <v>0</v>
      </c>
      <c r="H34" s="6"/>
      <c r="I34" s="6"/>
      <c r="J34" s="14">
        <f>INVENTARIO[[#This Row],[ENTRADAS]]-INVENTARIO[[#This Row],[SALIDAS]]</f>
        <v>0</v>
      </c>
      <c r="K34" s="5"/>
      <c r="L34" s="10"/>
    </row>
    <row r="35" spans="1:12" x14ac:dyDescent="0.25">
      <c r="A35" s="28">
        <v>33</v>
      </c>
      <c r="B35" s="15"/>
      <c r="C35" s="13"/>
      <c r="D35" s="12" t="s">
        <v>213</v>
      </c>
      <c r="E35" s="21"/>
      <c r="F35" s="14">
        <f>IFERROR(SUMIFS(ENTRADAS[CANTIDAD],ENTRADAS[Columna1],INVENTARIO[[#This Row],[DESCRIPCION]],ENTRADAS[LOTE],INVENTARIO[[#This Row],[CATALOGO]]),"-")</f>
        <v>0</v>
      </c>
      <c r="G35" s="14">
        <f>IFERROR(SUMIFS(SALIDAS[CANTIDAD],SALIDAS[DESCRIPCION],INVENTARIO[[#This Row],[DESCRIPCION]],SALIDAS[LOTE],INVENTARIO[[#This Row],[CATALOGO]]),"-")</f>
        <v>0</v>
      </c>
      <c r="H35" s="6"/>
      <c r="I35" s="6"/>
      <c r="J35" s="14">
        <f>INVENTARIO[[#This Row],[ENTRADAS]]-INVENTARIO[[#This Row],[SALIDAS]]</f>
        <v>0</v>
      </c>
      <c r="K35" s="5"/>
      <c r="L35" s="10"/>
    </row>
    <row r="36" spans="1:12" x14ac:dyDescent="0.25">
      <c r="A36" s="28">
        <v>34</v>
      </c>
      <c r="B36" s="15"/>
      <c r="C36" s="15"/>
      <c r="D36" s="15" t="s">
        <v>214</v>
      </c>
      <c r="E36" s="21"/>
      <c r="F36" s="14">
        <f>IFERROR(SUMIFS(ENTRADAS[CANTIDAD],ENTRADAS[Columna1],INVENTARIO[[#This Row],[DESCRIPCION]],ENTRADAS[LOTE],INVENTARIO[[#This Row],[CATALOGO]]),"-")</f>
        <v>0</v>
      </c>
      <c r="G36" s="14">
        <f>IFERROR(SUMIFS(SALIDAS[CANTIDAD],SALIDAS[DESCRIPCION],INVENTARIO[[#This Row],[DESCRIPCION]],SALIDAS[LOTE],INVENTARIO[[#This Row],[CATALOGO]]),"-")</f>
        <v>0</v>
      </c>
      <c r="H36" s="6"/>
      <c r="I36" s="6"/>
      <c r="J36" s="14">
        <f>INVENTARIO[[#This Row],[ENTRADAS]]-INVENTARIO[[#This Row],[SALIDAS]]</f>
        <v>0</v>
      </c>
      <c r="K36" s="5"/>
      <c r="L36" s="10"/>
    </row>
    <row r="37" spans="1:12" x14ac:dyDescent="0.25">
      <c r="A37" s="28">
        <v>35</v>
      </c>
      <c r="B37" s="15"/>
      <c r="C37" s="13"/>
      <c r="D37" s="12" t="s">
        <v>222</v>
      </c>
      <c r="E37" s="21"/>
      <c r="F37" s="14">
        <f>IFERROR(SUMIFS(ENTRADAS[CANTIDAD],ENTRADAS[Columna1],INVENTARIO[[#This Row],[DESCRIPCION]],ENTRADAS[LOTE],INVENTARIO[[#This Row],[CATALOGO]]),"-")</f>
        <v>0</v>
      </c>
      <c r="G37" s="14">
        <f>IFERROR(SUMIFS(SALIDAS[CANTIDAD],SALIDAS[DESCRIPCION],INVENTARIO[[#This Row],[DESCRIPCION]],SALIDAS[LOTE],INVENTARIO[[#This Row],[CATALOGO]]),"-")</f>
        <v>0</v>
      </c>
      <c r="H37" s="6"/>
      <c r="I37" s="6"/>
      <c r="J37" s="14">
        <f>INVENTARIO[[#This Row],[ENTRADAS]]-INVENTARIO[[#This Row],[SALIDAS]]</f>
        <v>0</v>
      </c>
      <c r="K37" s="5"/>
      <c r="L37" s="10"/>
    </row>
    <row r="38" spans="1:12" x14ac:dyDescent="0.25">
      <c r="A38" s="28">
        <v>36</v>
      </c>
      <c r="B38" s="15"/>
      <c r="C38" s="15"/>
      <c r="D38" s="15" t="s">
        <v>237</v>
      </c>
      <c r="E38" s="21"/>
      <c r="F38" s="14">
        <f>IFERROR(SUMIFS(ENTRADAS[CANTIDAD],ENTRADAS[Columna1],INVENTARIO[[#This Row],[DESCRIPCION]],ENTRADAS[LOTE],INVENTARIO[[#This Row],[CATALOGO]]),"-")</f>
        <v>0</v>
      </c>
      <c r="G38" s="14">
        <f>IFERROR(SUMIFS(SALIDAS[CANTIDAD],SALIDAS[DESCRIPCION],INVENTARIO[[#This Row],[DESCRIPCION]],SALIDAS[LOTE],INVENTARIO[[#This Row],[CATALOGO]]),"-")</f>
        <v>0</v>
      </c>
      <c r="H38" s="6"/>
      <c r="I38" s="6"/>
      <c r="J38" s="14">
        <f>INVENTARIO[[#This Row],[ENTRADAS]]-INVENTARIO[[#This Row],[SALIDAS]]</f>
        <v>0</v>
      </c>
      <c r="K38" s="5"/>
      <c r="L38" s="10"/>
    </row>
    <row r="39" spans="1:12" x14ac:dyDescent="0.25">
      <c r="A39" s="28">
        <v>37</v>
      </c>
      <c r="B39" s="15"/>
      <c r="C39" s="13"/>
      <c r="D39" s="12" t="s">
        <v>243</v>
      </c>
      <c r="E39" s="21"/>
      <c r="F39" s="14">
        <f>IFERROR(SUMIFS(ENTRADAS[CANTIDAD],ENTRADAS[Columna1],INVENTARIO[[#This Row],[DESCRIPCION]],ENTRADAS[LOTE],INVENTARIO[[#This Row],[CATALOGO]]),"-")</f>
        <v>0</v>
      </c>
      <c r="G39" s="14">
        <f>IFERROR(SUMIFS(SALIDAS[CANTIDAD],SALIDAS[DESCRIPCION],INVENTARIO[[#This Row],[DESCRIPCION]],SALIDAS[LOTE],INVENTARIO[[#This Row],[CATALOGO]]),"-")</f>
        <v>0</v>
      </c>
      <c r="H39" s="6"/>
      <c r="I39" s="6"/>
      <c r="J39" s="14">
        <f>INVENTARIO[[#This Row],[ENTRADAS]]-INVENTARIO[[#This Row],[SALIDAS]]</f>
        <v>0</v>
      </c>
      <c r="K39" s="5"/>
      <c r="L39" s="10"/>
    </row>
    <row r="40" spans="1:12" x14ac:dyDescent="0.25">
      <c r="A40" s="28">
        <v>38</v>
      </c>
      <c r="B40" s="15"/>
      <c r="C40" s="15"/>
      <c r="D40" s="15" t="s">
        <v>239</v>
      </c>
      <c r="E40" s="21"/>
      <c r="F40" s="14">
        <f>IFERROR(SUMIFS(ENTRADAS[CANTIDAD],ENTRADAS[Columna1],INVENTARIO[[#This Row],[DESCRIPCION]],ENTRADAS[LOTE],INVENTARIO[[#This Row],[CATALOGO]]),"-")</f>
        <v>0</v>
      </c>
      <c r="G40" s="14">
        <f>IFERROR(SUMIFS(SALIDAS[CANTIDAD],SALIDAS[DESCRIPCION],INVENTARIO[[#This Row],[DESCRIPCION]],SALIDAS[LOTE],INVENTARIO[[#This Row],[CATALOGO]]),"-")</f>
        <v>0</v>
      </c>
      <c r="H40" s="6"/>
      <c r="I40" s="6"/>
      <c r="J40" s="14">
        <f>INVENTARIO[[#This Row],[ENTRADAS]]-INVENTARIO[[#This Row],[SALIDAS]]</f>
        <v>0</v>
      </c>
      <c r="K40" s="5"/>
      <c r="L40" s="10"/>
    </row>
    <row r="41" spans="1:12" x14ac:dyDescent="0.25">
      <c r="A41" s="28">
        <v>39</v>
      </c>
      <c r="B41" s="15"/>
      <c r="C41" s="13"/>
      <c r="D41" s="12" t="s">
        <v>238</v>
      </c>
      <c r="E41" s="21"/>
      <c r="F41" s="14">
        <f>IFERROR(SUMIFS(ENTRADAS[CANTIDAD],ENTRADAS[Columna1],INVENTARIO[[#This Row],[DESCRIPCION]],ENTRADAS[LOTE],INVENTARIO[[#This Row],[CATALOGO]]),"-")</f>
        <v>0</v>
      </c>
      <c r="G41" s="14">
        <f>IFERROR(SUMIFS(SALIDAS[CANTIDAD],SALIDAS[DESCRIPCION],INVENTARIO[[#This Row],[DESCRIPCION]],SALIDAS[LOTE],INVENTARIO[[#This Row],[CATALOGO]]),"-")</f>
        <v>0</v>
      </c>
      <c r="H41" s="6"/>
      <c r="I41" s="6"/>
      <c r="J41" s="14">
        <f>INVENTARIO[[#This Row],[ENTRADAS]]-INVENTARIO[[#This Row],[SALIDAS]]</f>
        <v>0</v>
      </c>
      <c r="K41" s="5"/>
      <c r="L41" s="10"/>
    </row>
    <row r="42" spans="1:12" x14ac:dyDescent="0.25">
      <c r="A42" s="28">
        <v>40</v>
      </c>
      <c r="B42" s="15"/>
      <c r="C42" s="15"/>
      <c r="D42" s="15" t="s">
        <v>241</v>
      </c>
      <c r="E42" s="21"/>
      <c r="F42" s="14">
        <f>IFERROR(SUMIFS(ENTRADAS[CANTIDAD],ENTRADAS[Columna1],INVENTARIO[[#This Row],[DESCRIPCION]],ENTRADAS[LOTE],INVENTARIO[[#This Row],[CATALOGO]]),"-")</f>
        <v>0</v>
      </c>
      <c r="G42" s="14">
        <f>IFERROR(SUMIFS(SALIDAS[CANTIDAD],SALIDAS[DESCRIPCION],INVENTARIO[[#This Row],[DESCRIPCION]],SALIDAS[LOTE],INVENTARIO[[#This Row],[CATALOGO]]),"-")</f>
        <v>0</v>
      </c>
      <c r="H42" s="6"/>
      <c r="I42" s="6"/>
      <c r="J42" s="14">
        <f>INVENTARIO[[#This Row],[ENTRADAS]]-INVENTARIO[[#This Row],[SALIDAS]]</f>
        <v>0</v>
      </c>
      <c r="K42" s="5"/>
      <c r="L42" s="10"/>
    </row>
    <row r="43" spans="1:12" x14ac:dyDescent="0.25">
      <c r="A43" s="28">
        <v>41</v>
      </c>
      <c r="B43" s="15"/>
      <c r="C43" s="13"/>
      <c r="D43" s="12" t="s">
        <v>236</v>
      </c>
      <c r="E43" s="21"/>
      <c r="F43" s="14">
        <f>IFERROR(SUMIFS(ENTRADAS[CANTIDAD],ENTRADAS[Columna1],INVENTARIO[[#This Row],[DESCRIPCION]],ENTRADAS[LOTE],INVENTARIO[[#This Row],[CATALOGO]]),"-")</f>
        <v>0</v>
      </c>
      <c r="G43" s="14">
        <f>IFERROR(SUMIFS(SALIDAS[CANTIDAD],SALIDAS[DESCRIPCION],INVENTARIO[[#This Row],[DESCRIPCION]],SALIDAS[LOTE],INVENTARIO[[#This Row],[CATALOGO]]),"-")</f>
        <v>0</v>
      </c>
      <c r="H43" s="6"/>
      <c r="I43" s="6"/>
      <c r="J43" s="14">
        <f>INVENTARIO[[#This Row],[ENTRADAS]]-INVENTARIO[[#This Row],[SALIDAS]]</f>
        <v>0</v>
      </c>
      <c r="K43" s="5"/>
      <c r="L43" s="10"/>
    </row>
    <row r="44" spans="1:12" x14ac:dyDescent="0.25">
      <c r="A44" s="28">
        <v>42</v>
      </c>
      <c r="B44" s="15"/>
      <c r="C44" s="15"/>
      <c r="D44" s="15" t="s">
        <v>244</v>
      </c>
      <c r="E44" s="21"/>
      <c r="F44" s="14">
        <f>IFERROR(SUMIFS(ENTRADAS[CANTIDAD],ENTRADAS[Columna1],INVENTARIO[[#This Row],[DESCRIPCION]],ENTRADAS[LOTE],INVENTARIO[[#This Row],[CATALOGO]]),"-")</f>
        <v>0</v>
      </c>
      <c r="G44" s="14">
        <f>IFERROR(SUMIFS(SALIDAS[CANTIDAD],SALIDAS[DESCRIPCION],INVENTARIO[[#This Row],[DESCRIPCION]],SALIDAS[LOTE],INVENTARIO[[#This Row],[CATALOGO]]),"-")</f>
        <v>0</v>
      </c>
      <c r="H44" s="6"/>
      <c r="I44" s="6"/>
      <c r="J44" s="14">
        <f>INVENTARIO[[#This Row],[ENTRADAS]]-INVENTARIO[[#This Row],[SALIDAS]]</f>
        <v>0</v>
      </c>
      <c r="K44" s="5"/>
      <c r="L44" s="10"/>
    </row>
    <row r="45" spans="1:12" x14ac:dyDescent="0.25">
      <c r="A45" s="28">
        <v>43</v>
      </c>
      <c r="B45" s="15"/>
      <c r="C45" s="13"/>
      <c r="D45" s="12" t="s">
        <v>179</v>
      </c>
      <c r="E45" s="21"/>
      <c r="F45" s="14">
        <f>IFERROR(SUMIFS(ENTRADAS[CANTIDAD],ENTRADAS[Columna1],INVENTARIO[[#This Row],[DESCRIPCION]],ENTRADAS[LOTE],INVENTARIO[[#This Row],[CATALOGO]]),"-")</f>
        <v>0</v>
      </c>
      <c r="G45" s="14">
        <f>IFERROR(SUMIFS(SALIDAS[CANTIDAD],SALIDAS[DESCRIPCION],INVENTARIO[[#This Row],[DESCRIPCION]],SALIDAS[LOTE],INVENTARIO[[#This Row],[CATALOGO]]),"-")</f>
        <v>0</v>
      </c>
      <c r="H45" s="6"/>
      <c r="I45" s="6"/>
      <c r="J45" s="14">
        <f>INVENTARIO[[#This Row],[ENTRADAS]]-INVENTARIO[[#This Row],[SALIDAS]]</f>
        <v>0</v>
      </c>
      <c r="K45" s="5"/>
      <c r="L45" s="10"/>
    </row>
    <row r="46" spans="1:12" x14ac:dyDescent="0.25">
      <c r="A46" s="28">
        <v>44</v>
      </c>
      <c r="B46" s="15"/>
      <c r="C46" s="15"/>
      <c r="D46" s="15" t="s">
        <v>178</v>
      </c>
      <c r="E46" s="21"/>
      <c r="F46" s="14">
        <f>IFERROR(SUMIFS(ENTRADAS[CANTIDAD],ENTRADAS[Columna1],INVENTARIO[[#This Row],[DESCRIPCION]],ENTRADAS[LOTE],INVENTARIO[[#This Row],[CATALOGO]]),"-")</f>
        <v>0</v>
      </c>
      <c r="G46" s="14">
        <f>IFERROR(SUMIFS(SALIDAS[CANTIDAD],SALIDAS[DESCRIPCION],INVENTARIO[[#This Row],[DESCRIPCION]],SALIDAS[LOTE],INVENTARIO[[#This Row],[CATALOGO]]),"-")</f>
        <v>0</v>
      </c>
      <c r="H46" s="6"/>
      <c r="I46" s="6"/>
      <c r="J46" s="14">
        <f>INVENTARIO[[#This Row],[ENTRADAS]]-INVENTARIO[[#This Row],[SALIDAS]]</f>
        <v>0</v>
      </c>
      <c r="K46" s="5"/>
      <c r="L46" s="10"/>
    </row>
    <row r="47" spans="1:12" x14ac:dyDescent="0.25">
      <c r="A47" s="28">
        <v>45</v>
      </c>
      <c r="B47" s="15"/>
      <c r="C47" s="13"/>
      <c r="D47" s="12" t="s">
        <v>40</v>
      </c>
      <c r="E47" s="21"/>
      <c r="F47" s="6">
        <f>IFERROR(SUMIFS(ENTRADAS[CANTIDAD],ENTRADAS[Columna1],INVENTARIO[[#This Row],[DESCRIPCION]],ENTRADAS[LOTE],INVENTARIO[[#This Row],[CATALOGO]]),"-")</f>
        <v>0</v>
      </c>
      <c r="G47" s="6">
        <f>IFERROR(SUMIFS(SALIDAS[CANTIDAD],SALIDAS[DESCRIPCION],INVENTARIO[[#This Row],[DESCRIPCION]],SALIDAS[LOTE],INVENTARIO[[#This Row],[CATALOGO]]),"-")</f>
        <v>0</v>
      </c>
      <c r="H47" s="6"/>
      <c r="I47" s="6"/>
      <c r="J47" s="6">
        <f>INVENTARIO[[#This Row],[ENTRADAS]]-INVENTARIO[[#This Row],[SALIDAS]]</f>
        <v>0</v>
      </c>
      <c r="K47" s="5"/>
      <c r="L47" s="10"/>
    </row>
    <row r="48" spans="1:12" x14ac:dyDescent="0.25">
      <c r="A48" s="28">
        <v>46</v>
      </c>
      <c r="B48" s="15"/>
      <c r="C48" s="15"/>
      <c r="D48" s="15" t="s">
        <v>217</v>
      </c>
      <c r="E48" s="21"/>
      <c r="F48" s="14">
        <f>IFERROR(SUMIFS(ENTRADAS[CANTIDAD],ENTRADAS[Columna1],INVENTARIO[[#This Row],[DESCRIPCION]],ENTRADAS[LOTE],INVENTARIO[[#This Row],[CATALOGO]]),"-")</f>
        <v>0</v>
      </c>
      <c r="G48" s="14">
        <f>IFERROR(SUMIFS(SALIDAS[CANTIDAD],SALIDAS[DESCRIPCION],INVENTARIO[[#This Row],[DESCRIPCION]],SALIDAS[LOTE],INVENTARIO[[#This Row],[CATALOGO]]),"-")</f>
        <v>0</v>
      </c>
      <c r="H48" s="6"/>
      <c r="I48" s="6"/>
      <c r="J48" s="14">
        <f>INVENTARIO[[#This Row],[ENTRADAS]]-INVENTARIO[[#This Row],[SALIDAS]]</f>
        <v>0</v>
      </c>
      <c r="K48" s="5"/>
      <c r="L48" s="10"/>
    </row>
    <row r="49" spans="1:12" x14ac:dyDescent="0.25">
      <c r="A49" s="28">
        <v>47</v>
      </c>
      <c r="B49" s="15"/>
      <c r="C49" s="13"/>
      <c r="D49" s="12" t="s">
        <v>221</v>
      </c>
      <c r="E49" s="21"/>
      <c r="F49" s="14">
        <f>IFERROR(SUMIFS(ENTRADAS[CANTIDAD],ENTRADAS[Columna1],INVENTARIO[[#This Row],[DESCRIPCION]],ENTRADAS[LOTE],INVENTARIO[[#This Row],[CATALOGO]]),"-")</f>
        <v>0</v>
      </c>
      <c r="G49" s="14">
        <f>IFERROR(SUMIFS(SALIDAS[CANTIDAD],SALIDAS[DESCRIPCION],INVENTARIO[[#This Row],[DESCRIPCION]],SALIDAS[LOTE],INVENTARIO[[#This Row],[CATALOGO]]),"-")</f>
        <v>0</v>
      </c>
      <c r="H49" s="6"/>
      <c r="I49" s="6"/>
      <c r="J49" s="14">
        <f>INVENTARIO[[#This Row],[ENTRADAS]]-INVENTARIO[[#This Row],[SALIDAS]]</f>
        <v>0</v>
      </c>
      <c r="K49" s="5"/>
      <c r="L49" s="10"/>
    </row>
    <row r="50" spans="1:12" x14ac:dyDescent="0.25">
      <c r="A50" s="28">
        <v>48</v>
      </c>
      <c r="B50" s="15"/>
      <c r="C50" s="15"/>
      <c r="D50" s="15" t="s">
        <v>240</v>
      </c>
      <c r="E50" s="21"/>
      <c r="F50" s="14">
        <f>IFERROR(SUMIFS(ENTRADAS[CANTIDAD],ENTRADAS[Columna1],INVENTARIO[[#This Row],[DESCRIPCION]],ENTRADAS[LOTE],INVENTARIO[[#This Row],[CATALOGO]]),"-")</f>
        <v>0</v>
      </c>
      <c r="G50" s="14">
        <f>IFERROR(SUMIFS(SALIDAS[CANTIDAD],SALIDAS[DESCRIPCION],INVENTARIO[[#This Row],[DESCRIPCION]],SALIDAS[LOTE],INVENTARIO[[#This Row],[CATALOGO]]),"-")</f>
        <v>0</v>
      </c>
      <c r="H50" s="6"/>
      <c r="I50" s="6"/>
      <c r="J50" s="14">
        <f>INVENTARIO[[#This Row],[ENTRADAS]]-INVENTARIO[[#This Row],[SALIDAS]]</f>
        <v>0</v>
      </c>
      <c r="K50" s="5"/>
      <c r="L50" s="10"/>
    </row>
    <row r="51" spans="1:12" x14ac:dyDescent="0.25">
      <c r="A51" s="28">
        <v>49</v>
      </c>
      <c r="B51" s="15"/>
      <c r="C51" s="13"/>
      <c r="D51" s="12" t="s">
        <v>218</v>
      </c>
      <c r="E51" s="21"/>
      <c r="F51" s="14">
        <f>IFERROR(SUMIFS(ENTRADAS[CANTIDAD],ENTRADAS[Columna1],INVENTARIO[[#This Row],[DESCRIPCION]],ENTRADAS[LOTE],INVENTARIO[[#This Row],[CATALOGO]]),"-")</f>
        <v>0</v>
      </c>
      <c r="G51" s="14">
        <f>IFERROR(SUMIFS(SALIDAS[CANTIDAD],SALIDAS[DESCRIPCION],INVENTARIO[[#This Row],[DESCRIPCION]],SALIDAS[LOTE],INVENTARIO[[#This Row],[CATALOGO]]),"-")</f>
        <v>0</v>
      </c>
      <c r="H51" s="6"/>
      <c r="I51" s="6"/>
      <c r="J51" s="14">
        <f>INVENTARIO[[#This Row],[ENTRADAS]]-INVENTARIO[[#This Row],[SALIDAS]]</f>
        <v>0</v>
      </c>
      <c r="K51" s="5"/>
      <c r="L51" s="10"/>
    </row>
    <row r="52" spans="1:12" x14ac:dyDescent="0.25">
      <c r="A52" s="28">
        <v>50</v>
      </c>
      <c r="B52" s="15"/>
      <c r="C52" s="15"/>
      <c r="D52" s="15" t="s">
        <v>242</v>
      </c>
      <c r="E52" s="21"/>
      <c r="F52" s="14">
        <f>IFERROR(SUMIFS(ENTRADAS[CANTIDAD],ENTRADAS[Columna1],INVENTARIO[[#This Row],[DESCRIPCION]],ENTRADAS[LOTE],INVENTARIO[[#This Row],[CATALOGO]]),"-")</f>
        <v>0</v>
      </c>
      <c r="G52" s="14">
        <f>IFERROR(SUMIFS(SALIDAS[CANTIDAD],SALIDAS[DESCRIPCION],INVENTARIO[[#This Row],[DESCRIPCION]],SALIDAS[LOTE],INVENTARIO[[#This Row],[CATALOGO]]),"-")</f>
        <v>0</v>
      </c>
      <c r="H52" s="6"/>
      <c r="I52" s="6"/>
      <c r="J52" s="14">
        <f>INVENTARIO[[#This Row],[ENTRADAS]]-INVENTARIO[[#This Row],[SALIDAS]]</f>
        <v>0</v>
      </c>
      <c r="K52" s="5"/>
      <c r="L52" s="10"/>
    </row>
    <row r="53" spans="1:12" x14ac:dyDescent="0.25">
      <c r="A53" s="28">
        <v>51</v>
      </c>
      <c r="B53" s="15"/>
      <c r="C53" s="13"/>
      <c r="D53" s="12" t="s">
        <v>161</v>
      </c>
      <c r="E53" s="21"/>
      <c r="F53" s="14">
        <f>IFERROR(SUMIFS(ENTRADAS[CANTIDAD],ENTRADAS[Columna1],INVENTARIO[[#This Row],[DESCRIPCION]],ENTRADAS[LOTE],INVENTARIO[[#This Row],[CATALOGO]]),"-")</f>
        <v>0</v>
      </c>
      <c r="G53" s="14">
        <f>IFERROR(SUMIFS(SALIDAS[CANTIDAD],SALIDAS[DESCRIPCION],INVENTARIO[[#This Row],[DESCRIPCION]],SALIDAS[LOTE],INVENTARIO[[#This Row],[CATALOGO]]),"-")</f>
        <v>0</v>
      </c>
      <c r="H53" s="6"/>
      <c r="I53" s="6"/>
      <c r="J53" s="14">
        <f>INVENTARIO[[#This Row],[ENTRADAS]]-INVENTARIO[[#This Row],[SALIDAS]]</f>
        <v>0</v>
      </c>
      <c r="K53" s="5"/>
      <c r="L53" s="10"/>
    </row>
    <row r="54" spans="1:12" x14ac:dyDescent="0.25">
      <c r="A54" s="28">
        <v>52</v>
      </c>
      <c r="B54" s="15"/>
      <c r="C54" s="15"/>
      <c r="D54" s="15" t="s">
        <v>212</v>
      </c>
      <c r="E54" s="21"/>
      <c r="F54" s="14">
        <f>IFERROR(SUMIFS(ENTRADAS[CANTIDAD],ENTRADAS[Columna1],INVENTARIO[[#This Row],[DESCRIPCION]],ENTRADAS[LOTE],INVENTARIO[[#This Row],[CATALOGO]]),"-")</f>
        <v>0</v>
      </c>
      <c r="G54" s="14">
        <f>IFERROR(SUMIFS(SALIDAS[CANTIDAD],SALIDAS[DESCRIPCION],INVENTARIO[[#This Row],[DESCRIPCION]],SALIDAS[LOTE],INVENTARIO[[#This Row],[CATALOGO]]),"-")</f>
        <v>0</v>
      </c>
      <c r="H54" s="6"/>
      <c r="I54" s="6"/>
      <c r="J54" s="14">
        <f>INVENTARIO[[#This Row],[ENTRADAS]]-INVENTARIO[[#This Row],[SALIDAS]]</f>
        <v>0</v>
      </c>
      <c r="K54" s="5"/>
      <c r="L54" s="10"/>
    </row>
    <row r="55" spans="1:12" x14ac:dyDescent="0.25">
      <c r="A55" s="28">
        <v>53</v>
      </c>
      <c r="B55" s="15"/>
      <c r="C55" s="13"/>
      <c r="D55" s="12" t="s">
        <v>185</v>
      </c>
      <c r="E55" s="21"/>
      <c r="F55" s="14">
        <f>IFERROR(SUMIFS(ENTRADAS[CANTIDAD],ENTRADAS[Columna1],INVENTARIO[[#This Row],[DESCRIPCION]],ENTRADAS[LOTE],INVENTARIO[[#This Row],[CATALOGO]]),"-")</f>
        <v>0</v>
      </c>
      <c r="G55" s="14">
        <f>IFERROR(SUMIFS(SALIDAS[CANTIDAD],SALIDAS[DESCRIPCION],INVENTARIO[[#This Row],[DESCRIPCION]],SALIDAS[LOTE],INVENTARIO[[#This Row],[CATALOGO]]),"-")</f>
        <v>0</v>
      </c>
      <c r="H55" s="6"/>
      <c r="I55" s="6"/>
      <c r="J55" s="14">
        <f>INVENTARIO[[#This Row],[ENTRADAS]]-INVENTARIO[[#This Row],[SALIDAS]]</f>
        <v>0</v>
      </c>
      <c r="K55" s="5"/>
      <c r="L55" s="10"/>
    </row>
    <row r="56" spans="1:12" x14ac:dyDescent="0.25">
      <c r="A56" s="28">
        <v>54</v>
      </c>
      <c r="B56" s="15"/>
      <c r="C56" s="15"/>
      <c r="D56" s="15" t="s">
        <v>186</v>
      </c>
      <c r="E56" s="21"/>
      <c r="F56" s="14">
        <f>IFERROR(SUMIFS(ENTRADAS[CANTIDAD],ENTRADAS[Columna1],INVENTARIO[[#This Row],[DESCRIPCION]],ENTRADAS[LOTE],INVENTARIO[[#This Row],[CATALOGO]]),"-")</f>
        <v>0</v>
      </c>
      <c r="G56" s="14">
        <f>IFERROR(SUMIFS(SALIDAS[CANTIDAD],SALIDAS[DESCRIPCION],INVENTARIO[[#This Row],[DESCRIPCION]],SALIDAS[LOTE],INVENTARIO[[#This Row],[CATALOGO]]),"-")</f>
        <v>0</v>
      </c>
      <c r="H56" s="6"/>
      <c r="I56" s="6"/>
      <c r="J56" s="14">
        <f>INVENTARIO[[#This Row],[ENTRADAS]]-INVENTARIO[[#This Row],[SALIDAS]]</f>
        <v>0</v>
      </c>
      <c r="K56" s="5"/>
      <c r="L56" s="10"/>
    </row>
    <row r="57" spans="1:12" x14ac:dyDescent="0.25">
      <c r="A57" s="28">
        <v>55</v>
      </c>
      <c r="B57" s="15"/>
      <c r="C57" s="13"/>
      <c r="D57" s="12" t="s">
        <v>165</v>
      </c>
      <c r="E57" s="21"/>
      <c r="F57" s="14">
        <f>IFERROR(SUMIFS(ENTRADAS[CANTIDAD],ENTRADAS[Columna1],INVENTARIO[[#This Row],[DESCRIPCION]],ENTRADAS[LOTE],INVENTARIO[[#This Row],[CATALOGO]]),"-")</f>
        <v>0</v>
      </c>
      <c r="G57" s="14">
        <f>IFERROR(SUMIFS(SALIDAS[CANTIDAD],SALIDAS[DESCRIPCION],INVENTARIO[[#This Row],[DESCRIPCION]],SALIDAS[LOTE],INVENTARIO[[#This Row],[CATALOGO]]),"-")</f>
        <v>0</v>
      </c>
      <c r="H57" s="6"/>
      <c r="I57" s="6"/>
      <c r="J57" s="14">
        <f>INVENTARIO[[#This Row],[ENTRADAS]]-INVENTARIO[[#This Row],[SALIDAS]]</f>
        <v>0</v>
      </c>
      <c r="K57" s="5"/>
      <c r="L57" s="10"/>
    </row>
    <row r="58" spans="1:12" x14ac:dyDescent="0.25">
      <c r="A58" s="28">
        <v>56</v>
      </c>
      <c r="B58" s="15"/>
      <c r="C58" s="15"/>
      <c r="D58" s="15" t="s">
        <v>8</v>
      </c>
      <c r="E58" s="21"/>
      <c r="F58" s="6">
        <f>IFERROR(SUMIFS(ENTRADAS[CANTIDAD],ENTRADAS[Columna1],INVENTARIO[[#This Row],[DESCRIPCION]],ENTRADAS[LOTE],INVENTARIO[[#This Row],[CATALOGO]]),"-")</f>
        <v>0</v>
      </c>
      <c r="G58" s="6">
        <f>IFERROR(SUMIFS(SALIDAS[CANTIDAD],SALIDAS[DESCRIPCION],INVENTARIO[[#This Row],[DESCRIPCION]],SALIDAS[LOTE],INVENTARIO[[#This Row],[CATALOGO]]),"-")</f>
        <v>0</v>
      </c>
      <c r="H58" s="6"/>
      <c r="I58" s="6"/>
      <c r="J58" s="6">
        <f>INVENTARIO[[#This Row],[ENTRADAS]]-INVENTARIO[[#This Row],[SALIDAS]]</f>
        <v>0</v>
      </c>
      <c r="K58" s="5"/>
      <c r="L58" s="10"/>
    </row>
    <row r="59" spans="1:12" x14ac:dyDescent="0.25">
      <c r="A59" s="28">
        <v>57</v>
      </c>
      <c r="B59" s="15"/>
      <c r="C59" s="13"/>
      <c r="D59" s="12" t="s">
        <v>17</v>
      </c>
      <c r="E59" s="21"/>
      <c r="F59" s="6">
        <f>IFERROR(SUMIFS(ENTRADAS[CANTIDAD],ENTRADAS[Columna1],INVENTARIO[[#This Row],[DESCRIPCION]],ENTRADAS[LOTE],INVENTARIO[[#This Row],[CATALOGO]]),"-")</f>
        <v>0</v>
      </c>
      <c r="G59" s="6">
        <f>IFERROR(SUMIFS(SALIDAS[CANTIDAD],SALIDAS[DESCRIPCION],INVENTARIO[[#This Row],[DESCRIPCION]],SALIDAS[LOTE],INVENTARIO[[#This Row],[CATALOGO]]),"-")</f>
        <v>0</v>
      </c>
      <c r="H59" s="6"/>
      <c r="I59" s="6"/>
      <c r="J59" s="6">
        <f>INVENTARIO[[#This Row],[ENTRADAS]]-INVENTARIO[[#This Row],[SALIDAS]]</f>
        <v>0</v>
      </c>
      <c r="K59" s="5"/>
      <c r="L59" s="10"/>
    </row>
    <row r="60" spans="1:12" x14ac:dyDescent="0.25">
      <c r="A60" s="28">
        <v>58</v>
      </c>
      <c r="B60" s="15"/>
      <c r="C60" s="15"/>
      <c r="D60" s="15" t="s">
        <v>18</v>
      </c>
      <c r="E60" s="21"/>
      <c r="F60" s="6">
        <f>IFERROR(SUMIFS(ENTRADAS[CANTIDAD],ENTRADAS[Columna1],INVENTARIO[[#This Row],[DESCRIPCION]],ENTRADAS[LOTE],INVENTARIO[[#This Row],[CATALOGO]]),"-")</f>
        <v>0</v>
      </c>
      <c r="G60" s="6">
        <f>IFERROR(SUMIFS(SALIDAS[CANTIDAD],SALIDAS[DESCRIPCION],INVENTARIO[[#This Row],[DESCRIPCION]],SALIDAS[LOTE],INVENTARIO[[#This Row],[CATALOGO]]),"-")</f>
        <v>0</v>
      </c>
      <c r="H60" s="6"/>
      <c r="I60" s="6"/>
      <c r="J60" s="6">
        <f>INVENTARIO[[#This Row],[ENTRADAS]]-INVENTARIO[[#This Row],[SALIDAS]]</f>
        <v>0</v>
      </c>
      <c r="K60" s="5"/>
      <c r="L60" s="10"/>
    </row>
    <row r="61" spans="1:12" x14ac:dyDescent="0.25">
      <c r="A61" s="28">
        <v>59</v>
      </c>
      <c r="B61" s="15"/>
      <c r="C61" s="13"/>
      <c r="D61" s="12" t="s">
        <v>71</v>
      </c>
      <c r="E61" s="21"/>
      <c r="F61" s="6">
        <f>IFERROR(SUMIFS(ENTRADAS[CANTIDAD],ENTRADAS[Columna1],INVENTARIO[[#This Row],[DESCRIPCION]],ENTRADAS[LOTE],INVENTARIO[[#This Row],[CATALOGO]]),"-")</f>
        <v>0</v>
      </c>
      <c r="G61" s="6">
        <f>IFERROR(SUMIFS(SALIDAS[CANTIDAD],SALIDAS[DESCRIPCION],INVENTARIO[[#This Row],[DESCRIPCION]],SALIDAS[LOTE],INVENTARIO[[#This Row],[CATALOGO]]),"-")</f>
        <v>0</v>
      </c>
      <c r="H61" s="6"/>
      <c r="I61" s="6"/>
      <c r="J61" s="6">
        <f>INVENTARIO[[#This Row],[ENTRADAS]]-INVENTARIO[[#This Row],[SALIDAS]]</f>
        <v>0</v>
      </c>
      <c r="K61" s="5"/>
      <c r="L61" s="10"/>
    </row>
    <row r="62" spans="1:12" x14ac:dyDescent="0.25">
      <c r="A62" s="28">
        <v>60</v>
      </c>
      <c r="B62" s="15"/>
      <c r="C62" s="15"/>
      <c r="D62" s="15" t="s">
        <v>164</v>
      </c>
      <c r="E62" s="21"/>
      <c r="F62" s="14">
        <f>IFERROR(SUMIFS(ENTRADAS[CANTIDAD],ENTRADAS[Columna1],INVENTARIO[[#This Row],[DESCRIPCION]],ENTRADAS[LOTE],INVENTARIO[[#This Row],[CATALOGO]]),"-")</f>
        <v>0</v>
      </c>
      <c r="G62" s="14">
        <f>IFERROR(SUMIFS(SALIDAS[CANTIDAD],SALIDAS[DESCRIPCION],INVENTARIO[[#This Row],[DESCRIPCION]],SALIDAS[LOTE],INVENTARIO[[#This Row],[CATALOGO]]),"-")</f>
        <v>0</v>
      </c>
      <c r="H62" s="6"/>
      <c r="I62" s="6"/>
      <c r="J62" s="14">
        <f>INVENTARIO[[#This Row],[ENTRADAS]]-INVENTARIO[[#This Row],[SALIDAS]]</f>
        <v>0</v>
      </c>
      <c r="K62" s="5"/>
      <c r="L62" s="10"/>
    </row>
    <row r="63" spans="1:12" x14ac:dyDescent="0.25">
      <c r="A63" s="28">
        <v>61</v>
      </c>
      <c r="B63" s="15"/>
      <c r="C63" s="13"/>
      <c r="D63" s="12" t="s">
        <v>160</v>
      </c>
      <c r="E63" s="21"/>
      <c r="F63" s="14">
        <f>IFERROR(SUMIFS(ENTRADAS[CANTIDAD],ENTRADAS[Columna1],INVENTARIO[[#This Row],[DESCRIPCION]],ENTRADAS[LOTE],INVENTARIO[[#This Row],[CATALOGO]]),"-")</f>
        <v>0</v>
      </c>
      <c r="G63" s="14">
        <f>IFERROR(SUMIFS(SALIDAS[CANTIDAD],SALIDAS[DESCRIPCION],INVENTARIO[[#This Row],[DESCRIPCION]],SALIDAS[LOTE],INVENTARIO[[#This Row],[CATALOGO]]),"-")</f>
        <v>0</v>
      </c>
      <c r="H63" s="6"/>
      <c r="I63" s="6"/>
      <c r="J63" s="14">
        <f>INVENTARIO[[#This Row],[ENTRADAS]]-INVENTARIO[[#This Row],[SALIDAS]]</f>
        <v>0</v>
      </c>
      <c r="K63" s="5"/>
      <c r="L63" s="10"/>
    </row>
    <row r="64" spans="1:12" x14ac:dyDescent="0.25">
      <c r="A64" s="28">
        <v>62</v>
      </c>
      <c r="B64" s="15"/>
      <c r="C64" s="15"/>
      <c r="D64" s="15" t="s">
        <v>169</v>
      </c>
      <c r="E64" s="21"/>
      <c r="F64" s="14">
        <f>IFERROR(SUMIFS(ENTRADAS[CANTIDAD],ENTRADAS[Columna1],INVENTARIO[[#This Row],[DESCRIPCION]],ENTRADAS[LOTE],INVENTARIO[[#This Row],[CATALOGO]]),"-")</f>
        <v>0</v>
      </c>
      <c r="G64" s="14">
        <f>IFERROR(SUMIFS(SALIDAS[CANTIDAD],SALIDAS[DESCRIPCION],INVENTARIO[[#This Row],[DESCRIPCION]],SALIDAS[LOTE],INVENTARIO[[#This Row],[CATALOGO]]),"-")</f>
        <v>0</v>
      </c>
      <c r="H64" s="6"/>
      <c r="I64" s="6"/>
      <c r="J64" s="14">
        <f>INVENTARIO[[#This Row],[ENTRADAS]]-INVENTARIO[[#This Row],[SALIDAS]]</f>
        <v>0</v>
      </c>
      <c r="K64" s="5"/>
      <c r="L64" s="10"/>
    </row>
    <row r="65" spans="1:12" x14ac:dyDescent="0.25">
      <c r="A65" s="28">
        <v>63</v>
      </c>
      <c r="B65" s="15"/>
      <c r="C65" s="13"/>
      <c r="D65" s="12" t="s">
        <v>10</v>
      </c>
      <c r="E65" s="21"/>
      <c r="F65" s="6">
        <f>IFERROR(SUMIFS(ENTRADAS[CANTIDAD],ENTRADAS[Columna1],INVENTARIO[[#This Row],[DESCRIPCION]],ENTRADAS[LOTE],INVENTARIO[[#This Row],[CATALOGO]]),"-")</f>
        <v>0</v>
      </c>
      <c r="G65" s="6">
        <f>IFERROR(SUMIFS(SALIDAS[CANTIDAD],SALIDAS[DESCRIPCION],INVENTARIO[[#This Row],[DESCRIPCION]],SALIDAS[LOTE],INVENTARIO[[#This Row],[CATALOGO]]),"-")</f>
        <v>0</v>
      </c>
      <c r="H65" s="6"/>
      <c r="I65" s="6"/>
      <c r="J65" s="6">
        <f>INVENTARIO[[#This Row],[ENTRADAS]]-INVENTARIO[[#This Row],[SALIDAS]]</f>
        <v>0</v>
      </c>
      <c r="K65" s="5"/>
      <c r="L65" s="10"/>
    </row>
    <row r="66" spans="1:12" x14ac:dyDescent="0.25">
      <c r="A66" s="28">
        <v>64</v>
      </c>
      <c r="B66" s="15"/>
      <c r="C66" s="15"/>
      <c r="D66" s="15" t="s">
        <v>188</v>
      </c>
      <c r="E66" s="21"/>
      <c r="F66" s="14">
        <f>IFERROR(SUMIFS(ENTRADAS[CANTIDAD],ENTRADAS[Columna1],INVENTARIO[[#This Row],[DESCRIPCION]],ENTRADAS[LOTE],INVENTARIO[[#This Row],[CATALOGO]]),"-")</f>
        <v>0</v>
      </c>
      <c r="G66" s="14">
        <f>IFERROR(SUMIFS(SALIDAS[CANTIDAD],SALIDAS[DESCRIPCION],INVENTARIO[[#This Row],[DESCRIPCION]],SALIDAS[LOTE],INVENTARIO[[#This Row],[CATALOGO]]),"-")</f>
        <v>0</v>
      </c>
      <c r="H66" s="6"/>
      <c r="I66" s="6"/>
      <c r="J66" s="14">
        <f>INVENTARIO[[#This Row],[ENTRADAS]]-INVENTARIO[[#This Row],[SALIDAS]]</f>
        <v>0</v>
      </c>
      <c r="K66" s="5"/>
      <c r="L66" s="10"/>
    </row>
    <row r="67" spans="1:12" x14ac:dyDescent="0.25">
      <c r="A67" s="28">
        <v>65</v>
      </c>
      <c r="B67" s="15"/>
      <c r="C67" s="13"/>
      <c r="D67" s="12" t="s">
        <v>189</v>
      </c>
      <c r="E67" s="21"/>
      <c r="F67" s="14">
        <f>IFERROR(SUMIFS(ENTRADAS[CANTIDAD],ENTRADAS[Columna1],INVENTARIO[[#This Row],[DESCRIPCION]],ENTRADAS[LOTE],INVENTARIO[[#This Row],[CATALOGO]]),"-")</f>
        <v>0</v>
      </c>
      <c r="G67" s="14">
        <f>IFERROR(SUMIFS(SALIDAS[CANTIDAD],SALIDAS[DESCRIPCION],INVENTARIO[[#This Row],[DESCRIPCION]],SALIDAS[LOTE],INVENTARIO[[#This Row],[CATALOGO]]),"-")</f>
        <v>0</v>
      </c>
      <c r="H67" s="6"/>
      <c r="I67" s="6"/>
      <c r="J67" s="14">
        <f>INVENTARIO[[#This Row],[ENTRADAS]]-INVENTARIO[[#This Row],[SALIDAS]]</f>
        <v>0</v>
      </c>
      <c r="K67" s="5"/>
      <c r="L67" s="10"/>
    </row>
    <row r="68" spans="1:12" x14ac:dyDescent="0.25">
      <c r="A68" s="28">
        <v>66</v>
      </c>
      <c r="B68" s="15"/>
      <c r="C68" s="15"/>
      <c r="D68" s="15" t="s">
        <v>9</v>
      </c>
      <c r="E68" s="21"/>
      <c r="F68" s="6">
        <f>IFERROR(SUMIFS(ENTRADAS[CANTIDAD],ENTRADAS[Columna1],INVENTARIO[[#This Row],[DESCRIPCION]],ENTRADAS[LOTE],INVENTARIO[[#This Row],[CATALOGO]]),"-")</f>
        <v>0</v>
      </c>
      <c r="G68" s="6">
        <f>IFERROR(SUMIFS(SALIDAS[CANTIDAD],SALIDAS[DESCRIPCION],INVENTARIO[[#This Row],[DESCRIPCION]],SALIDAS[LOTE],INVENTARIO[[#This Row],[CATALOGO]]),"-")</f>
        <v>0</v>
      </c>
      <c r="H68" s="6"/>
      <c r="I68" s="6"/>
      <c r="J68" s="6">
        <f>INVENTARIO[[#This Row],[ENTRADAS]]-INVENTARIO[[#This Row],[SALIDAS]]</f>
        <v>0</v>
      </c>
      <c r="K68" s="5"/>
      <c r="L68" s="10"/>
    </row>
    <row r="69" spans="1:12" x14ac:dyDescent="0.25">
      <c r="A69" s="28">
        <v>67</v>
      </c>
      <c r="B69" s="15"/>
      <c r="C69" s="13"/>
      <c r="D69" s="12" t="s">
        <v>190</v>
      </c>
      <c r="E69" s="21"/>
      <c r="F69" s="14">
        <f>IFERROR(SUMIFS(ENTRADAS[CANTIDAD],ENTRADAS[Columna1],INVENTARIO[[#This Row],[DESCRIPCION]],ENTRADAS[LOTE],INVENTARIO[[#This Row],[CATALOGO]]),"-")</f>
        <v>0</v>
      </c>
      <c r="G69" s="14">
        <f>IFERROR(SUMIFS(SALIDAS[CANTIDAD],SALIDAS[DESCRIPCION],INVENTARIO[[#This Row],[DESCRIPCION]],SALIDAS[LOTE],INVENTARIO[[#This Row],[CATALOGO]]),"-")</f>
        <v>0</v>
      </c>
      <c r="H69" s="6"/>
      <c r="I69" s="6"/>
      <c r="J69" s="14">
        <f>INVENTARIO[[#This Row],[ENTRADAS]]-INVENTARIO[[#This Row],[SALIDAS]]</f>
        <v>0</v>
      </c>
      <c r="K69" s="5"/>
      <c r="L69" s="10"/>
    </row>
    <row r="70" spans="1:12" x14ac:dyDescent="0.25">
      <c r="A70" s="28">
        <v>68</v>
      </c>
      <c r="B70" s="15"/>
      <c r="C70" s="15"/>
      <c r="D70" s="15" t="s">
        <v>126</v>
      </c>
      <c r="E70" s="21"/>
      <c r="F70" s="14">
        <f>IFERROR(SUMIFS(ENTRADAS[CANTIDAD],ENTRADAS[Columna1],INVENTARIO[[#This Row],[DESCRIPCION]],ENTRADAS[LOTE],INVENTARIO[[#This Row],[CATALOGO]]),"-")</f>
        <v>0</v>
      </c>
      <c r="G70" s="14">
        <f>IFERROR(SUMIFS(SALIDAS[CANTIDAD],SALIDAS[DESCRIPCION],INVENTARIO[[#This Row],[DESCRIPCION]],SALIDAS[LOTE],INVENTARIO[[#This Row],[CATALOGO]]),"-")</f>
        <v>0</v>
      </c>
      <c r="H70" s="6"/>
      <c r="I70" s="6"/>
      <c r="J70" s="14">
        <f>INVENTARIO[[#This Row],[ENTRADAS]]-INVENTARIO[[#This Row],[SALIDAS]]</f>
        <v>0</v>
      </c>
      <c r="K70" s="5"/>
      <c r="L70" s="10"/>
    </row>
    <row r="71" spans="1:12" x14ac:dyDescent="0.25">
      <c r="A71" s="28">
        <v>69</v>
      </c>
      <c r="B71" s="15"/>
      <c r="C71" s="13"/>
      <c r="D71" s="12" t="s">
        <v>125</v>
      </c>
      <c r="E71" s="21"/>
      <c r="F71" s="14">
        <f>IFERROR(SUMIFS(ENTRADAS[CANTIDAD],ENTRADAS[Columna1],INVENTARIO[[#This Row],[DESCRIPCION]],ENTRADAS[LOTE],INVENTARIO[[#This Row],[CATALOGO]]),"-")</f>
        <v>0</v>
      </c>
      <c r="G71" s="14">
        <f>IFERROR(SUMIFS(SALIDAS[CANTIDAD],SALIDAS[DESCRIPCION],INVENTARIO[[#This Row],[DESCRIPCION]],SALIDAS[LOTE],INVENTARIO[[#This Row],[CATALOGO]]),"-")</f>
        <v>0</v>
      </c>
      <c r="H71" s="6"/>
      <c r="I71" s="6"/>
      <c r="J71" s="14">
        <f>INVENTARIO[[#This Row],[ENTRADAS]]-INVENTARIO[[#This Row],[SALIDAS]]</f>
        <v>0</v>
      </c>
      <c r="K71" s="5"/>
      <c r="L71" s="10"/>
    </row>
    <row r="72" spans="1:12" x14ac:dyDescent="0.25">
      <c r="A72" s="28">
        <v>70</v>
      </c>
      <c r="B72" s="15"/>
      <c r="C72" s="15"/>
      <c r="D72" s="15" t="s">
        <v>220</v>
      </c>
      <c r="E72" s="21"/>
      <c r="F72" s="14">
        <f>IFERROR(SUMIFS(ENTRADAS[CANTIDAD],ENTRADAS[Columna1],INVENTARIO[[#This Row],[DESCRIPCION]],ENTRADAS[LOTE],INVENTARIO[[#This Row],[CATALOGO]]),"-")</f>
        <v>0</v>
      </c>
      <c r="G72" s="14">
        <f>IFERROR(SUMIFS(SALIDAS[CANTIDAD],SALIDAS[DESCRIPCION],INVENTARIO[[#This Row],[DESCRIPCION]],SALIDAS[LOTE],INVENTARIO[[#This Row],[CATALOGO]]),"-")</f>
        <v>0</v>
      </c>
      <c r="H72" s="6"/>
      <c r="I72" s="6"/>
      <c r="J72" s="14">
        <f>INVENTARIO[[#This Row],[ENTRADAS]]-INVENTARIO[[#This Row],[SALIDAS]]</f>
        <v>0</v>
      </c>
      <c r="K72" s="5"/>
      <c r="L72" s="10"/>
    </row>
    <row r="73" spans="1:12" x14ac:dyDescent="0.25">
      <c r="A73" s="28">
        <v>71</v>
      </c>
      <c r="B73" s="15"/>
      <c r="C73" s="13"/>
      <c r="D73" s="12" t="s">
        <v>85</v>
      </c>
      <c r="E73" s="21"/>
      <c r="F73" s="6">
        <f>IFERROR(SUMIFS(ENTRADAS[CANTIDAD],ENTRADAS[Columna1],INVENTARIO[[#This Row],[DESCRIPCION]],ENTRADAS[LOTE],INVENTARIO[[#This Row],[CATALOGO]]),"-")</f>
        <v>0</v>
      </c>
      <c r="G73" s="6">
        <f>IFERROR(SUMIFS(SALIDAS[CANTIDAD],SALIDAS[DESCRIPCION],INVENTARIO[[#This Row],[DESCRIPCION]],SALIDAS[LOTE],INVENTARIO[[#This Row],[CATALOGO]]),"-")</f>
        <v>0</v>
      </c>
      <c r="H73" s="6"/>
      <c r="I73" s="6"/>
      <c r="J73" s="6">
        <f>INVENTARIO[[#This Row],[ENTRADAS]]-INVENTARIO[[#This Row],[SALIDAS]]</f>
        <v>0</v>
      </c>
      <c r="K73" s="5"/>
      <c r="L73" s="10"/>
    </row>
    <row r="74" spans="1:12" x14ac:dyDescent="0.25">
      <c r="A74" s="28">
        <v>72</v>
      </c>
      <c r="B74" s="15"/>
      <c r="C74" s="15"/>
      <c r="D74" s="15" t="s">
        <v>127</v>
      </c>
      <c r="E74" s="21"/>
      <c r="F74" s="14">
        <f>IFERROR(SUMIFS(ENTRADAS[CANTIDAD],ENTRADAS[Columna1],INVENTARIO[[#This Row],[DESCRIPCION]],ENTRADAS[LOTE],INVENTARIO[[#This Row],[CATALOGO]]),"-")</f>
        <v>0</v>
      </c>
      <c r="G74" s="14">
        <f>IFERROR(SUMIFS(SALIDAS[CANTIDAD],SALIDAS[DESCRIPCION],INVENTARIO[[#This Row],[DESCRIPCION]],SALIDAS[LOTE],INVENTARIO[[#This Row],[CATALOGO]]),"-")</f>
        <v>0</v>
      </c>
      <c r="H74" s="6"/>
      <c r="I74" s="6"/>
      <c r="J74" s="14">
        <f>INVENTARIO[[#This Row],[ENTRADAS]]-INVENTARIO[[#This Row],[SALIDAS]]</f>
        <v>0</v>
      </c>
      <c r="K74" s="5"/>
      <c r="L74" s="10"/>
    </row>
    <row r="75" spans="1:12" x14ac:dyDescent="0.25">
      <c r="A75" s="28">
        <v>73</v>
      </c>
      <c r="B75" s="15"/>
      <c r="C75" s="13"/>
      <c r="D75" s="12" t="s">
        <v>156</v>
      </c>
      <c r="E75" s="21"/>
      <c r="F75" s="14">
        <f>IFERROR(SUMIFS(ENTRADAS[CANTIDAD],ENTRADAS[Columna1],INVENTARIO[[#This Row],[DESCRIPCION]],ENTRADAS[LOTE],INVENTARIO[[#This Row],[CATALOGO]]),"-")</f>
        <v>0</v>
      </c>
      <c r="G75" s="14">
        <f>IFERROR(SUMIFS(SALIDAS[CANTIDAD],SALIDAS[DESCRIPCION],INVENTARIO[[#This Row],[DESCRIPCION]],SALIDAS[LOTE],INVENTARIO[[#This Row],[CATALOGO]]),"-")</f>
        <v>0</v>
      </c>
      <c r="H75" s="6"/>
      <c r="I75" s="6"/>
      <c r="J75" s="14">
        <f>INVENTARIO[[#This Row],[ENTRADAS]]-INVENTARIO[[#This Row],[SALIDAS]]</f>
        <v>0</v>
      </c>
      <c r="K75" s="5"/>
      <c r="L75" s="10"/>
    </row>
    <row r="76" spans="1:12" x14ac:dyDescent="0.25">
      <c r="A76" s="28">
        <v>74</v>
      </c>
      <c r="B76" s="15"/>
      <c r="C76" s="15"/>
      <c r="D76" s="15" t="s">
        <v>205</v>
      </c>
      <c r="E76" s="21"/>
      <c r="F76" s="14">
        <f>IFERROR(SUMIFS(ENTRADAS[CANTIDAD],ENTRADAS[Columna1],INVENTARIO[[#This Row],[DESCRIPCION]],ENTRADAS[LOTE],INVENTARIO[[#This Row],[CATALOGO]]),"-")</f>
        <v>0</v>
      </c>
      <c r="G76" s="14">
        <f>IFERROR(SUMIFS(SALIDAS[CANTIDAD],SALIDAS[DESCRIPCION],INVENTARIO[[#This Row],[DESCRIPCION]],SALIDAS[LOTE],INVENTARIO[[#This Row],[CATALOGO]]),"-")</f>
        <v>0</v>
      </c>
      <c r="H76" s="6"/>
      <c r="I76" s="6"/>
      <c r="J76" s="14">
        <f>INVENTARIO[[#This Row],[ENTRADAS]]-INVENTARIO[[#This Row],[SALIDAS]]</f>
        <v>0</v>
      </c>
      <c r="K76" s="5"/>
      <c r="L76" s="10"/>
    </row>
    <row r="77" spans="1:12" x14ac:dyDescent="0.25">
      <c r="A77" s="28">
        <v>75</v>
      </c>
      <c r="B77" s="15"/>
      <c r="C77" s="13"/>
      <c r="D77" s="12" t="s">
        <v>206</v>
      </c>
      <c r="E77" s="21"/>
      <c r="F77" s="14">
        <f>IFERROR(SUMIFS(ENTRADAS[CANTIDAD],ENTRADAS[Columna1],INVENTARIO[[#This Row],[DESCRIPCION]],ENTRADAS[LOTE],INVENTARIO[[#This Row],[CATALOGO]]),"-")</f>
        <v>0</v>
      </c>
      <c r="G77" s="14">
        <f>IFERROR(SUMIFS(SALIDAS[CANTIDAD],SALIDAS[DESCRIPCION],INVENTARIO[[#This Row],[DESCRIPCION]],SALIDAS[LOTE],INVENTARIO[[#This Row],[CATALOGO]]),"-")</f>
        <v>0</v>
      </c>
      <c r="H77" s="6"/>
      <c r="I77" s="6"/>
      <c r="J77" s="14">
        <f>INVENTARIO[[#This Row],[ENTRADAS]]-INVENTARIO[[#This Row],[SALIDAS]]</f>
        <v>0</v>
      </c>
      <c r="K77" s="5"/>
      <c r="L77" s="10"/>
    </row>
    <row r="78" spans="1:12" x14ac:dyDescent="0.25">
      <c r="A78" s="28">
        <v>76</v>
      </c>
      <c r="B78" s="15"/>
      <c r="C78" s="15"/>
      <c r="D78" s="15" t="s">
        <v>83</v>
      </c>
      <c r="E78" s="21"/>
      <c r="F78" s="6">
        <f>IFERROR(SUMIFS(ENTRADAS[CANTIDAD],ENTRADAS[Columna1],INVENTARIO[[#This Row],[DESCRIPCION]],ENTRADAS[LOTE],INVENTARIO[[#This Row],[CATALOGO]]),"-")</f>
        <v>0</v>
      </c>
      <c r="G78" s="6">
        <f>IFERROR(SUMIFS(SALIDAS[CANTIDAD],SALIDAS[DESCRIPCION],INVENTARIO[[#This Row],[DESCRIPCION]],SALIDAS[LOTE],INVENTARIO[[#This Row],[CATALOGO]]),"-")</f>
        <v>0</v>
      </c>
      <c r="H78" s="6"/>
      <c r="I78" s="6"/>
      <c r="J78" s="6">
        <f>INVENTARIO[[#This Row],[ENTRADAS]]-INVENTARIO[[#This Row],[SALIDAS]]</f>
        <v>0</v>
      </c>
      <c r="K78" s="5"/>
      <c r="L78" s="10"/>
    </row>
    <row r="79" spans="1:12" x14ac:dyDescent="0.25">
      <c r="A79" s="28">
        <v>77</v>
      </c>
      <c r="B79" s="15"/>
      <c r="C79" s="13"/>
      <c r="D79" s="12" t="s">
        <v>183</v>
      </c>
      <c r="E79" s="21"/>
      <c r="F79" s="14">
        <f>IFERROR(SUMIFS(ENTRADAS[CANTIDAD],ENTRADAS[Columna1],INVENTARIO[[#This Row],[DESCRIPCION]],ENTRADAS[LOTE],INVENTARIO[[#This Row],[CATALOGO]]),"-")</f>
        <v>0</v>
      </c>
      <c r="G79" s="14">
        <f>IFERROR(SUMIFS(SALIDAS[CANTIDAD],SALIDAS[DESCRIPCION],INVENTARIO[[#This Row],[DESCRIPCION]],SALIDAS[LOTE],INVENTARIO[[#This Row],[CATALOGO]]),"-")</f>
        <v>0</v>
      </c>
      <c r="H79" s="6"/>
      <c r="I79" s="6"/>
      <c r="J79" s="14">
        <f>INVENTARIO[[#This Row],[ENTRADAS]]-INVENTARIO[[#This Row],[SALIDAS]]</f>
        <v>0</v>
      </c>
      <c r="K79" s="5"/>
      <c r="L79" s="10"/>
    </row>
    <row r="80" spans="1:12" x14ac:dyDescent="0.25">
      <c r="A80" s="28">
        <v>78</v>
      </c>
      <c r="B80" s="15"/>
      <c r="C80" s="15"/>
      <c r="D80" s="15" t="s">
        <v>55</v>
      </c>
      <c r="E80" s="21"/>
      <c r="F80" s="6">
        <f>IFERROR(SUMIFS(ENTRADAS[CANTIDAD],ENTRADAS[Columna1],INVENTARIO[[#This Row],[DESCRIPCION]],ENTRADAS[LOTE],INVENTARIO[[#This Row],[CATALOGO]]),"-")</f>
        <v>0</v>
      </c>
      <c r="G80" s="6">
        <f>IFERROR(SUMIFS(SALIDAS[CANTIDAD],SALIDAS[DESCRIPCION],INVENTARIO[[#This Row],[DESCRIPCION]],SALIDAS[LOTE],INVENTARIO[[#This Row],[CATALOGO]]),"-")</f>
        <v>0</v>
      </c>
      <c r="H80" s="6"/>
      <c r="I80" s="6"/>
      <c r="J80" s="6">
        <f>INVENTARIO[[#This Row],[ENTRADAS]]-INVENTARIO[[#This Row],[SALIDAS]]</f>
        <v>0</v>
      </c>
      <c r="K80" s="5"/>
      <c r="L80" s="10"/>
    </row>
    <row r="81" spans="1:12" x14ac:dyDescent="0.25">
      <c r="A81" s="28">
        <v>79</v>
      </c>
      <c r="B81" s="15"/>
      <c r="C81" s="13"/>
      <c r="D81" s="12" t="s">
        <v>55</v>
      </c>
      <c r="E81" s="21"/>
      <c r="F81" s="6">
        <f>IFERROR(SUMIFS(ENTRADAS[CANTIDAD],ENTRADAS[Columna1],INVENTARIO[[#This Row],[DESCRIPCION]],ENTRADAS[LOTE],INVENTARIO[[#This Row],[CATALOGO]]),"-")</f>
        <v>0</v>
      </c>
      <c r="G81" s="6">
        <f>IFERROR(SUMIFS(SALIDAS[CANTIDAD],SALIDAS[DESCRIPCION],INVENTARIO[[#This Row],[DESCRIPCION]],SALIDAS[LOTE],INVENTARIO[[#This Row],[CATALOGO]]),"-")</f>
        <v>0</v>
      </c>
      <c r="H81" s="6"/>
      <c r="I81" s="6"/>
      <c r="J81" s="6">
        <f>INVENTARIO[[#This Row],[ENTRADAS]]-INVENTARIO[[#This Row],[SALIDAS]]</f>
        <v>0</v>
      </c>
      <c r="K81" s="5"/>
      <c r="L81" s="10"/>
    </row>
    <row r="82" spans="1:12" x14ac:dyDescent="0.25">
      <c r="A82" s="28">
        <v>80</v>
      </c>
      <c r="B82" s="15"/>
      <c r="C82" s="15"/>
      <c r="D82" s="15" t="s">
        <v>158</v>
      </c>
      <c r="E82" s="21"/>
      <c r="F82" s="14">
        <f>IFERROR(SUMIFS(ENTRADAS[CANTIDAD],ENTRADAS[Columna1],INVENTARIO[[#This Row],[DESCRIPCION]],ENTRADAS[LOTE],INVENTARIO[[#This Row],[CATALOGO]]),"-")</f>
        <v>0</v>
      </c>
      <c r="G82" s="14">
        <f>IFERROR(SUMIFS(SALIDAS[CANTIDAD],SALIDAS[DESCRIPCION],INVENTARIO[[#This Row],[DESCRIPCION]],SALIDAS[LOTE],INVENTARIO[[#This Row],[CATALOGO]]),"-")</f>
        <v>0</v>
      </c>
      <c r="H82" s="6"/>
      <c r="I82" s="6"/>
      <c r="J82" s="14">
        <f>INVENTARIO[[#This Row],[ENTRADAS]]-INVENTARIO[[#This Row],[SALIDAS]]</f>
        <v>0</v>
      </c>
      <c r="K82" s="5"/>
      <c r="L82" s="10"/>
    </row>
    <row r="83" spans="1:12" x14ac:dyDescent="0.25">
      <c r="A83" s="28">
        <v>81</v>
      </c>
      <c r="B83" s="15"/>
      <c r="C83" s="13"/>
      <c r="D83" s="12" t="s">
        <v>181</v>
      </c>
      <c r="E83" s="21"/>
      <c r="F83" s="14">
        <f>IFERROR(SUMIFS(ENTRADAS[CANTIDAD],ENTRADAS[Columna1],INVENTARIO[[#This Row],[DESCRIPCION]],ENTRADAS[LOTE],INVENTARIO[[#This Row],[CATALOGO]]),"-")</f>
        <v>0</v>
      </c>
      <c r="G83" s="14">
        <f>IFERROR(SUMIFS(SALIDAS[CANTIDAD],SALIDAS[DESCRIPCION],INVENTARIO[[#This Row],[DESCRIPCION]],SALIDAS[LOTE],INVENTARIO[[#This Row],[CATALOGO]]),"-")</f>
        <v>0</v>
      </c>
      <c r="H83" s="6"/>
      <c r="I83" s="6"/>
      <c r="J83" s="14">
        <f>INVENTARIO[[#This Row],[ENTRADAS]]-INVENTARIO[[#This Row],[SALIDAS]]</f>
        <v>0</v>
      </c>
      <c r="K83" s="5"/>
      <c r="L83" s="10"/>
    </row>
    <row r="84" spans="1:12" x14ac:dyDescent="0.25">
      <c r="A84" s="28">
        <v>82</v>
      </c>
      <c r="B84" s="15"/>
      <c r="C84" s="15"/>
      <c r="D84" s="15" t="s">
        <v>180</v>
      </c>
      <c r="E84" s="21"/>
      <c r="F84" s="14">
        <f>IFERROR(SUMIFS(ENTRADAS[CANTIDAD],ENTRADAS[Columna1],INVENTARIO[[#This Row],[DESCRIPCION]],ENTRADAS[LOTE],INVENTARIO[[#This Row],[CATALOGO]]),"-")</f>
        <v>0</v>
      </c>
      <c r="G84" s="14">
        <f>IFERROR(SUMIFS(SALIDAS[CANTIDAD],SALIDAS[DESCRIPCION],INVENTARIO[[#This Row],[DESCRIPCION]],SALIDAS[LOTE],INVENTARIO[[#This Row],[CATALOGO]]),"-")</f>
        <v>0</v>
      </c>
      <c r="H84" s="6"/>
      <c r="I84" s="6"/>
      <c r="J84" s="14">
        <f>INVENTARIO[[#This Row],[ENTRADAS]]-INVENTARIO[[#This Row],[SALIDAS]]</f>
        <v>0</v>
      </c>
      <c r="K84" s="5"/>
      <c r="L84" s="10"/>
    </row>
    <row r="85" spans="1:12" x14ac:dyDescent="0.25">
      <c r="A85" s="28">
        <v>83</v>
      </c>
      <c r="B85" s="15"/>
      <c r="C85" s="13"/>
      <c r="D85" s="12" t="s">
        <v>216</v>
      </c>
      <c r="E85" s="21"/>
      <c r="F85" s="14">
        <f>IFERROR(SUMIFS(ENTRADAS[CANTIDAD],ENTRADAS[Columna1],INVENTARIO[[#This Row],[DESCRIPCION]],ENTRADAS[LOTE],INVENTARIO[[#This Row],[CATALOGO]]),"-")</f>
        <v>0</v>
      </c>
      <c r="G85" s="14">
        <f>IFERROR(SUMIFS(SALIDAS[CANTIDAD],SALIDAS[DESCRIPCION],INVENTARIO[[#This Row],[DESCRIPCION]],SALIDAS[LOTE],INVENTARIO[[#This Row],[CATALOGO]]),"-")</f>
        <v>0</v>
      </c>
      <c r="H85" s="6"/>
      <c r="I85" s="6"/>
      <c r="J85" s="14">
        <f>INVENTARIO[[#This Row],[ENTRADAS]]-INVENTARIO[[#This Row],[SALIDAS]]</f>
        <v>0</v>
      </c>
      <c r="K85" s="5"/>
      <c r="L85" s="10"/>
    </row>
    <row r="86" spans="1:12" x14ac:dyDescent="0.25">
      <c r="A86" s="28">
        <v>84</v>
      </c>
      <c r="B86" s="15"/>
      <c r="C86" s="15"/>
      <c r="D86" s="15" t="s">
        <v>61</v>
      </c>
      <c r="E86" s="21"/>
      <c r="F86" s="6">
        <f>IFERROR(SUMIFS(ENTRADAS[CANTIDAD],ENTRADAS[Columna1],INVENTARIO[[#This Row],[DESCRIPCION]],ENTRADAS[LOTE],INVENTARIO[[#This Row],[CATALOGO]]),"-")</f>
        <v>0</v>
      </c>
      <c r="G86" s="6">
        <f>IFERROR(SUMIFS(SALIDAS[CANTIDAD],SALIDAS[DESCRIPCION],INVENTARIO[[#This Row],[DESCRIPCION]],SALIDAS[LOTE],INVENTARIO[[#This Row],[CATALOGO]]),"-")</f>
        <v>0</v>
      </c>
      <c r="H86" s="6"/>
      <c r="I86" s="6"/>
      <c r="J86" s="6">
        <f>INVENTARIO[[#This Row],[ENTRADAS]]-INVENTARIO[[#This Row],[SALIDAS]]</f>
        <v>0</v>
      </c>
      <c r="K86" s="5"/>
      <c r="L86" s="10"/>
    </row>
    <row r="87" spans="1:12" x14ac:dyDescent="0.25">
      <c r="A87" s="28">
        <v>85</v>
      </c>
      <c r="B87" s="15"/>
      <c r="C87" s="13"/>
      <c r="D87" s="12" t="s">
        <v>82</v>
      </c>
      <c r="E87" s="21"/>
      <c r="F87" s="6">
        <f>IFERROR(SUMIFS(ENTRADAS[CANTIDAD],ENTRADAS[Columna1],INVENTARIO[[#This Row],[DESCRIPCION]],ENTRADAS[LOTE],INVENTARIO[[#This Row],[CATALOGO]]),"-")</f>
        <v>0</v>
      </c>
      <c r="G87" s="6">
        <f>IFERROR(SUMIFS(SALIDAS[CANTIDAD],SALIDAS[DESCRIPCION],INVENTARIO[[#This Row],[DESCRIPCION]],SALIDAS[LOTE],INVENTARIO[[#This Row],[CATALOGO]]),"-")</f>
        <v>0</v>
      </c>
      <c r="H87" s="6"/>
      <c r="I87" s="6"/>
      <c r="J87" s="6">
        <f>INVENTARIO[[#This Row],[ENTRADAS]]-INVENTARIO[[#This Row],[SALIDAS]]</f>
        <v>0</v>
      </c>
      <c r="K87" s="5"/>
      <c r="L87" s="10"/>
    </row>
    <row r="88" spans="1:12" x14ac:dyDescent="0.25">
      <c r="A88" s="28">
        <v>86</v>
      </c>
      <c r="B88" s="15"/>
      <c r="C88" s="15"/>
      <c r="D88" s="15" t="s">
        <v>155</v>
      </c>
      <c r="E88" s="21"/>
      <c r="F88" s="14">
        <f>IFERROR(SUMIFS(ENTRADAS[CANTIDAD],ENTRADAS[Columna1],INVENTARIO[[#This Row],[DESCRIPCION]],ENTRADAS[LOTE],INVENTARIO[[#This Row],[CATALOGO]]),"-")</f>
        <v>0</v>
      </c>
      <c r="G88" s="14">
        <f>IFERROR(SUMIFS(SALIDAS[CANTIDAD],SALIDAS[DESCRIPCION],INVENTARIO[[#This Row],[DESCRIPCION]],SALIDAS[LOTE],INVENTARIO[[#This Row],[CATALOGO]]),"-")</f>
        <v>0</v>
      </c>
      <c r="H88" s="6"/>
      <c r="I88" s="6"/>
      <c r="J88" s="14">
        <f>INVENTARIO[[#This Row],[ENTRADAS]]-INVENTARIO[[#This Row],[SALIDAS]]</f>
        <v>0</v>
      </c>
      <c r="K88" s="5"/>
      <c r="L88" s="10"/>
    </row>
    <row r="89" spans="1:12" x14ac:dyDescent="0.25">
      <c r="A89" s="28">
        <v>87</v>
      </c>
      <c r="B89" s="15"/>
      <c r="C89" s="13"/>
      <c r="D89" s="12" t="s">
        <v>57</v>
      </c>
      <c r="E89" s="21"/>
      <c r="F89" s="6">
        <f>IFERROR(SUMIFS(ENTRADAS[CANTIDAD],ENTRADAS[Columna1],INVENTARIO[[#This Row],[DESCRIPCION]],ENTRADAS[LOTE],INVENTARIO[[#This Row],[CATALOGO]]),"-")</f>
        <v>0</v>
      </c>
      <c r="G89" s="6">
        <f>IFERROR(SUMIFS(SALIDAS[CANTIDAD],SALIDAS[DESCRIPCION],INVENTARIO[[#This Row],[DESCRIPCION]],SALIDAS[LOTE],INVENTARIO[[#This Row],[CATALOGO]]),"-")</f>
        <v>0</v>
      </c>
      <c r="H89" s="6"/>
      <c r="I89" s="6"/>
      <c r="J89" s="6">
        <f>INVENTARIO[[#This Row],[ENTRADAS]]-INVENTARIO[[#This Row],[SALIDAS]]</f>
        <v>0</v>
      </c>
      <c r="K89" s="5"/>
      <c r="L89" s="10"/>
    </row>
    <row r="90" spans="1:12" x14ac:dyDescent="0.25">
      <c r="A90" s="28">
        <v>88</v>
      </c>
      <c r="B90" s="15"/>
      <c r="C90" s="15"/>
      <c r="D90" s="15" t="s">
        <v>66</v>
      </c>
      <c r="E90" s="21"/>
      <c r="F90" s="6">
        <f>IFERROR(SUMIFS(ENTRADAS[CANTIDAD],ENTRADAS[Columna1],INVENTARIO[[#This Row],[DESCRIPCION]],ENTRADAS[LOTE],INVENTARIO[[#This Row],[CATALOGO]]),"-")</f>
        <v>0</v>
      </c>
      <c r="G90" s="6">
        <f>IFERROR(SUMIFS(SALIDAS[CANTIDAD],SALIDAS[DESCRIPCION],INVENTARIO[[#This Row],[DESCRIPCION]],SALIDAS[LOTE],INVENTARIO[[#This Row],[CATALOGO]]),"-")</f>
        <v>0</v>
      </c>
      <c r="H90" s="6"/>
      <c r="I90" s="6"/>
      <c r="J90" s="6">
        <f>INVENTARIO[[#This Row],[ENTRADAS]]-INVENTARIO[[#This Row],[SALIDAS]]</f>
        <v>0</v>
      </c>
      <c r="K90" s="5"/>
      <c r="L90" s="10"/>
    </row>
    <row r="91" spans="1:12" x14ac:dyDescent="0.25">
      <c r="A91" s="28">
        <v>89</v>
      </c>
      <c r="B91" s="15"/>
      <c r="C91" s="13"/>
      <c r="D91" s="12" t="s">
        <v>184</v>
      </c>
      <c r="E91" s="21"/>
      <c r="F91" s="14">
        <f>IFERROR(SUMIFS(ENTRADAS[CANTIDAD],ENTRADAS[Columna1],INVENTARIO[[#This Row],[DESCRIPCION]],ENTRADAS[LOTE],INVENTARIO[[#This Row],[CATALOGO]]),"-")</f>
        <v>0</v>
      </c>
      <c r="G91" s="14">
        <f>IFERROR(SUMIFS(SALIDAS[CANTIDAD],SALIDAS[DESCRIPCION],INVENTARIO[[#This Row],[DESCRIPCION]],SALIDAS[LOTE],INVENTARIO[[#This Row],[CATALOGO]]),"-")</f>
        <v>0</v>
      </c>
      <c r="H91" s="6"/>
      <c r="I91" s="6"/>
      <c r="J91" s="14">
        <f>INVENTARIO[[#This Row],[ENTRADAS]]-INVENTARIO[[#This Row],[SALIDAS]]</f>
        <v>0</v>
      </c>
      <c r="K91" s="5"/>
      <c r="L91" s="10"/>
    </row>
    <row r="92" spans="1:12" x14ac:dyDescent="0.25">
      <c r="A92" s="28">
        <v>90</v>
      </c>
      <c r="B92" s="15"/>
      <c r="C92" s="15"/>
      <c r="D92" s="15" t="s">
        <v>21</v>
      </c>
      <c r="E92" s="21"/>
      <c r="F92" s="6">
        <f>IFERROR(SUMIFS(ENTRADAS[CANTIDAD],ENTRADAS[Columna1],INVENTARIO[[#This Row],[DESCRIPCION]],ENTRADAS[LOTE],INVENTARIO[[#This Row],[CATALOGO]]),"-")</f>
        <v>0</v>
      </c>
      <c r="G92" s="6">
        <f>IFERROR(SUMIFS(SALIDAS[CANTIDAD],SALIDAS[DESCRIPCION],INVENTARIO[[#This Row],[DESCRIPCION]],SALIDAS[LOTE],INVENTARIO[[#This Row],[CATALOGO]]),"-")</f>
        <v>0</v>
      </c>
      <c r="H92" s="6"/>
      <c r="I92" s="6"/>
      <c r="J92" s="6">
        <f>INVENTARIO[[#This Row],[ENTRADAS]]-INVENTARIO[[#This Row],[SALIDAS]]</f>
        <v>0</v>
      </c>
      <c r="K92" s="5"/>
      <c r="L92" s="10"/>
    </row>
    <row r="93" spans="1:12" x14ac:dyDescent="0.25">
      <c r="A93" s="28">
        <v>91</v>
      </c>
      <c r="B93" s="15"/>
      <c r="C93" s="13"/>
      <c r="D93" s="12" t="s">
        <v>84</v>
      </c>
      <c r="E93" s="21"/>
      <c r="F93" s="6">
        <f>IFERROR(SUMIFS(ENTRADAS[CANTIDAD],ENTRADAS[Columna1],INVENTARIO[[#This Row],[DESCRIPCION]],ENTRADAS[LOTE],INVENTARIO[[#This Row],[CATALOGO]]),"-")</f>
        <v>0</v>
      </c>
      <c r="G93" s="6">
        <f>IFERROR(SUMIFS(SALIDAS[CANTIDAD],SALIDAS[DESCRIPCION],INVENTARIO[[#This Row],[DESCRIPCION]],SALIDAS[LOTE],INVENTARIO[[#This Row],[CATALOGO]]),"-")</f>
        <v>0</v>
      </c>
      <c r="H93" s="6"/>
      <c r="I93" s="6"/>
      <c r="J93" s="6">
        <f>INVENTARIO[[#This Row],[ENTRADAS]]-INVENTARIO[[#This Row],[SALIDAS]]</f>
        <v>0</v>
      </c>
      <c r="K93" s="5"/>
      <c r="L93" s="10"/>
    </row>
    <row r="94" spans="1:12" x14ac:dyDescent="0.25">
      <c r="A94" s="28">
        <v>92</v>
      </c>
      <c r="B94" s="15"/>
      <c r="C94" s="15"/>
      <c r="D94" s="15" t="s">
        <v>170</v>
      </c>
      <c r="E94" s="21"/>
      <c r="F94" s="14">
        <f>IFERROR(SUMIFS(ENTRADAS[CANTIDAD],ENTRADAS[Columna1],INVENTARIO[[#This Row],[DESCRIPCION]],ENTRADAS[LOTE],INVENTARIO[[#This Row],[CATALOGO]]),"-")</f>
        <v>0</v>
      </c>
      <c r="G94" s="14">
        <f>IFERROR(SUMIFS(SALIDAS[CANTIDAD],SALIDAS[DESCRIPCION],INVENTARIO[[#This Row],[DESCRIPCION]],SALIDAS[LOTE],INVENTARIO[[#This Row],[CATALOGO]]),"-")</f>
        <v>0</v>
      </c>
      <c r="H94" s="6"/>
      <c r="I94" s="6"/>
      <c r="J94" s="14">
        <f>INVENTARIO[[#This Row],[ENTRADAS]]-INVENTARIO[[#This Row],[SALIDAS]]</f>
        <v>0</v>
      </c>
      <c r="K94" s="5"/>
      <c r="L94" s="10"/>
    </row>
    <row r="95" spans="1:12" x14ac:dyDescent="0.25">
      <c r="A95" s="28">
        <v>93</v>
      </c>
      <c r="B95" s="15"/>
      <c r="C95" s="13"/>
      <c r="D95" s="12" t="s">
        <v>171</v>
      </c>
      <c r="E95" s="21"/>
      <c r="F95" s="14">
        <f>IFERROR(SUMIFS(ENTRADAS[CANTIDAD],ENTRADAS[Columna1],INVENTARIO[[#This Row],[DESCRIPCION]],ENTRADAS[LOTE],INVENTARIO[[#This Row],[CATALOGO]]),"-")</f>
        <v>0</v>
      </c>
      <c r="G95" s="14">
        <f>IFERROR(SUMIFS(SALIDAS[CANTIDAD],SALIDAS[DESCRIPCION],INVENTARIO[[#This Row],[DESCRIPCION]],SALIDAS[LOTE],INVENTARIO[[#This Row],[CATALOGO]]),"-")</f>
        <v>0</v>
      </c>
      <c r="H95" s="6"/>
      <c r="I95" s="6"/>
      <c r="J95" s="14">
        <f>INVENTARIO[[#This Row],[ENTRADAS]]-INVENTARIO[[#This Row],[SALIDAS]]</f>
        <v>0</v>
      </c>
      <c r="K95" s="5"/>
      <c r="L95" s="10"/>
    </row>
    <row r="96" spans="1:12" x14ac:dyDescent="0.25">
      <c r="A96" s="28">
        <v>94</v>
      </c>
      <c r="B96" s="15"/>
      <c r="C96" s="15"/>
      <c r="D96" s="15" t="s">
        <v>152</v>
      </c>
      <c r="E96" s="21"/>
      <c r="F96" s="14">
        <f>IFERROR(SUMIFS(ENTRADAS[CANTIDAD],ENTRADAS[Columna1],INVENTARIO[[#This Row],[DESCRIPCION]],ENTRADAS[LOTE],INVENTARIO[[#This Row],[CATALOGO]]),"-")</f>
        <v>0</v>
      </c>
      <c r="G96" s="14">
        <f>IFERROR(SUMIFS(SALIDAS[CANTIDAD],SALIDAS[DESCRIPCION],INVENTARIO[[#This Row],[DESCRIPCION]],SALIDAS[LOTE],INVENTARIO[[#This Row],[CATALOGO]]),"-")</f>
        <v>0</v>
      </c>
      <c r="H96" s="6"/>
      <c r="I96" s="6"/>
      <c r="J96" s="14">
        <f>INVENTARIO[[#This Row],[ENTRADAS]]-INVENTARIO[[#This Row],[SALIDAS]]</f>
        <v>0</v>
      </c>
      <c r="K96" s="5"/>
      <c r="L96" s="10"/>
    </row>
    <row r="97" spans="1:12" x14ac:dyDescent="0.25">
      <c r="A97" s="28">
        <v>95</v>
      </c>
      <c r="B97" s="15"/>
      <c r="C97" s="13"/>
      <c r="D97" s="12" t="s">
        <v>154</v>
      </c>
      <c r="E97" s="21"/>
      <c r="F97" s="14">
        <f>IFERROR(SUMIFS(ENTRADAS[CANTIDAD],ENTRADAS[Columna1],INVENTARIO[[#This Row],[DESCRIPCION]],ENTRADAS[LOTE],INVENTARIO[[#This Row],[CATALOGO]]),"-")</f>
        <v>0</v>
      </c>
      <c r="G97" s="14">
        <f>IFERROR(SUMIFS(SALIDAS[CANTIDAD],SALIDAS[DESCRIPCION],INVENTARIO[[#This Row],[DESCRIPCION]],SALIDAS[LOTE],INVENTARIO[[#This Row],[CATALOGO]]),"-")</f>
        <v>0</v>
      </c>
      <c r="H97" s="6"/>
      <c r="I97" s="6"/>
      <c r="J97" s="14">
        <f>INVENTARIO[[#This Row],[ENTRADAS]]-INVENTARIO[[#This Row],[SALIDAS]]</f>
        <v>0</v>
      </c>
      <c r="K97" s="5"/>
      <c r="L97" s="10"/>
    </row>
    <row r="98" spans="1:12" x14ac:dyDescent="0.25">
      <c r="A98" s="28">
        <v>96</v>
      </c>
      <c r="B98" s="15"/>
      <c r="C98" s="15"/>
      <c r="D98" s="15" t="s">
        <v>146</v>
      </c>
      <c r="E98" s="21"/>
      <c r="F98" s="14">
        <f>IFERROR(SUMIFS(ENTRADAS[CANTIDAD],ENTRADAS[Columna1],INVENTARIO[[#This Row],[DESCRIPCION]],ENTRADAS[LOTE],INVENTARIO[[#This Row],[CATALOGO]]),"-")</f>
        <v>0</v>
      </c>
      <c r="G98" s="14">
        <f>IFERROR(SUMIFS(SALIDAS[CANTIDAD],SALIDAS[DESCRIPCION],INVENTARIO[[#This Row],[DESCRIPCION]],SALIDAS[LOTE],INVENTARIO[[#This Row],[CATALOGO]]),"-")</f>
        <v>0</v>
      </c>
      <c r="H98" s="6"/>
      <c r="I98" s="6"/>
      <c r="J98" s="14">
        <f>INVENTARIO[[#This Row],[ENTRADAS]]-INVENTARIO[[#This Row],[SALIDAS]]</f>
        <v>0</v>
      </c>
      <c r="K98" s="5"/>
      <c r="L98" s="10"/>
    </row>
    <row r="99" spans="1:12" x14ac:dyDescent="0.25">
      <c r="A99" s="28">
        <v>97</v>
      </c>
      <c r="B99" s="15"/>
      <c r="C99" s="13"/>
      <c r="D99" s="12" t="s">
        <v>139</v>
      </c>
      <c r="E99" s="21"/>
      <c r="F99" s="14">
        <f>IFERROR(SUMIFS(ENTRADAS[CANTIDAD],ENTRADAS[Columna1],INVENTARIO[[#This Row],[DESCRIPCION]],ENTRADAS[LOTE],INVENTARIO[[#This Row],[CATALOGO]]),"-")</f>
        <v>0</v>
      </c>
      <c r="G99" s="14">
        <f>IFERROR(SUMIFS(SALIDAS[CANTIDAD],SALIDAS[DESCRIPCION],INVENTARIO[[#This Row],[DESCRIPCION]],SALIDAS[LOTE],INVENTARIO[[#This Row],[CATALOGO]]),"-")</f>
        <v>0</v>
      </c>
      <c r="H99" s="6"/>
      <c r="I99" s="6"/>
      <c r="J99" s="14">
        <f>INVENTARIO[[#This Row],[ENTRADAS]]-INVENTARIO[[#This Row],[SALIDAS]]</f>
        <v>0</v>
      </c>
      <c r="K99" s="5"/>
      <c r="L99" s="10"/>
    </row>
    <row r="100" spans="1:12" x14ac:dyDescent="0.25">
      <c r="A100" s="28">
        <v>98</v>
      </c>
      <c r="B100" s="15"/>
      <c r="C100" s="15"/>
      <c r="D100" s="15" t="s">
        <v>151</v>
      </c>
      <c r="E100" s="21"/>
      <c r="F100" s="14">
        <f>IFERROR(SUMIFS(ENTRADAS[CANTIDAD],ENTRADAS[Columna1],INVENTARIO[[#This Row],[DESCRIPCION]],ENTRADAS[LOTE],INVENTARIO[[#This Row],[CATALOGO]]),"-")</f>
        <v>0</v>
      </c>
      <c r="G100" s="14">
        <f>IFERROR(SUMIFS(SALIDAS[CANTIDAD],SALIDAS[DESCRIPCION],INVENTARIO[[#This Row],[DESCRIPCION]],SALIDAS[LOTE],INVENTARIO[[#This Row],[CATALOGO]]),"-")</f>
        <v>0</v>
      </c>
      <c r="H100" s="6"/>
      <c r="I100" s="6"/>
      <c r="J100" s="14">
        <f>INVENTARIO[[#This Row],[ENTRADAS]]-INVENTARIO[[#This Row],[SALIDAS]]</f>
        <v>0</v>
      </c>
      <c r="K100" s="5"/>
      <c r="L100" s="10"/>
    </row>
    <row r="101" spans="1:12" x14ac:dyDescent="0.25">
      <c r="A101" s="28">
        <v>99</v>
      </c>
      <c r="B101" s="15"/>
      <c r="C101" s="13"/>
      <c r="D101" s="12" t="s">
        <v>148</v>
      </c>
      <c r="E101" s="21"/>
      <c r="F101" s="14">
        <f>IFERROR(SUMIFS(ENTRADAS[CANTIDAD],ENTRADAS[Columna1],INVENTARIO[[#This Row],[DESCRIPCION]],ENTRADAS[LOTE],INVENTARIO[[#This Row],[CATALOGO]]),"-")</f>
        <v>0</v>
      </c>
      <c r="G101" s="14">
        <f>IFERROR(SUMIFS(SALIDAS[CANTIDAD],SALIDAS[DESCRIPCION],INVENTARIO[[#This Row],[DESCRIPCION]],SALIDAS[LOTE],INVENTARIO[[#This Row],[CATALOGO]]),"-")</f>
        <v>0</v>
      </c>
      <c r="H101" s="6"/>
      <c r="I101" s="6"/>
      <c r="J101" s="14">
        <f>INVENTARIO[[#This Row],[ENTRADAS]]-INVENTARIO[[#This Row],[SALIDAS]]</f>
        <v>0</v>
      </c>
      <c r="K101" s="5"/>
      <c r="L101" s="10"/>
    </row>
    <row r="102" spans="1:12" x14ac:dyDescent="0.25">
      <c r="A102" s="28">
        <v>100</v>
      </c>
      <c r="B102" s="15"/>
      <c r="C102" s="15"/>
      <c r="D102" s="15" t="s">
        <v>140</v>
      </c>
      <c r="E102" s="21"/>
      <c r="F102" s="14">
        <f>IFERROR(SUMIFS(ENTRADAS[CANTIDAD],ENTRADAS[Columna1],INVENTARIO[[#This Row],[DESCRIPCION]],ENTRADAS[LOTE],INVENTARIO[[#This Row],[CATALOGO]]),"-")</f>
        <v>0</v>
      </c>
      <c r="G102" s="14">
        <f>IFERROR(SUMIFS(SALIDAS[CANTIDAD],SALIDAS[DESCRIPCION],INVENTARIO[[#This Row],[DESCRIPCION]],SALIDAS[LOTE],INVENTARIO[[#This Row],[CATALOGO]]),"-")</f>
        <v>0</v>
      </c>
      <c r="H102" s="6"/>
      <c r="I102" s="6"/>
      <c r="J102" s="14">
        <f>INVENTARIO[[#This Row],[ENTRADAS]]-INVENTARIO[[#This Row],[SALIDAS]]</f>
        <v>0</v>
      </c>
      <c r="K102" s="5"/>
      <c r="L102" s="10"/>
    </row>
    <row r="103" spans="1:12" x14ac:dyDescent="0.25">
      <c r="A103" s="28">
        <v>101</v>
      </c>
      <c r="B103" s="15"/>
      <c r="C103" s="13"/>
      <c r="D103" s="12" t="s">
        <v>141</v>
      </c>
      <c r="E103" s="21"/>
      <c r="F103" s="14">
        <f>IFERROR(SUMIFS(ENTRADAS[CANTIDAD],ENTRADAS[Columna1],INVENTARIO[[#This Row],[DESCRIPCION]],ENTRADAS[LOTE],INVENTARIO[[#This Row],[CATALOGO]]),"-")</f>
        <v>0</v>
      </c>
      <c r="G103" s="14">
        <f>IFERROR(SUMIFS(SALIDAS[CANTIDAD],SALIDAS[DESCRIPCION],INVENTARIO[[#This Row],[DESCRIPCION]],SALIDAS[LOTE],INVENTARIO[[#This Row],[CATALOGO]]),"-")</f>
        <v>0</v>
      </c>
      <c r="H103" s="6"/>
      <c r="I103" s="6"/>
      <c r="J103" s="14">
        <f>INVENTARIO[[#This Row],[ENTRADAS]]-INVENTARIO[[#This Row],[SALIDAS]]</f>
        <v>0</v>
      </c>
      <c r="K103" s="5"/>
      <c r="L103" s="10"/>
    </row>
    <row r="104" spans="1:12" x14ac:dyDescent="0.25">
      <c r="A104" s="28">
        <v>102</v>
      </c>
      <c r="B104" s="15"/>
      <c r="C104" s="15"/>
      <c r="D104" s="15" t="s">
        <v>147</v>
      </c>
      <c r="E104" s="21"/>
      <c r="F104" s="14">
        <f>IFERROR(SUMIFS(ENTRADAS[CANTIDAD],ENTRADAS[Columna1],INVENTARIO[[#This Row],[DESCRIPCION]],ENTRADAS[LOTE],INVENTARIO[[#This Row],[CATALOGO]]),"-")</f>
        <v>0</v>
      </c>
      <c r="G104" s="14">
        <f>IFERROR(SUMIFS(SALIDAS[CANTIDAD],SALIDAS[DESCRIPCION],INVENTARIO[[#This Row],[DESCRIPCION]],SALIDAS[LOTE],INVENTARIO[[#This Row],[CATALOGO]]),"-")</f>
        <v>0</v>
      </c>
      <c r="H104" s="6"/>
      <c r="I104" s="6"/>
      <c r="J104" s="14">
        <f>INVENTARIO[[#This Row],[ENTRADAS]]-INVENTARIO[[#This Row],[SALIDAS]]</f>
        <v>0</v>
      </c>
      <c r="K104" s="5"/>
      <c r="L104" s="10"/>
    </row>
    <row r="105" spans="1:12" x14ac:dyDescent="0.25">
      <c r="A105" s="28">
        <v>103</v>
      </c>
      <c r="B105" s="15"/>
      <c r="C105" s="13"/>
      <c r="D105" s="12" t="s">
        <v>142</v>
      </c>
      <c r="E105" s="21"/>
      <c r="F105" s="14">
        <f>IFERROR(SUMIFS(ENTRADAS[CANTIDAD],ENTRADAS[Columna1],INVENTARIO[[#This Row],[DESCRIPCION]],ENTRADAS[LOTE],INVENTARIO[[#This Row],[CATALOGO]]),"-")</f>
        <v>0</v>
      </c>
      <c r="G105" s="14">
        <f>IFERROR(SUMIFS(SALIDAS[CANTIDAD],SALIDAS[DESCRIPCION],INVENTARIO[[#This Row],[DESCRIPCION]],SALIDAS[LOTE],INVENTARIO[[#This Row],[CATALOGO]]),"-")</f>
        <v>0</v>
      </c>
      <c r="H105" s="6"/>
      <c r="I105" s="6"/>
      <c r="J105" s="14">
        <f>INVENTARIO[[#This Row],[ENTRADAS]]-INVENTARIO[[#This Row],[SALIDAS]]</f>
        <v>0</v>
      </c>
      <c r="K105" s="5"/>
      <c r="L105" s="10"/>
    </row>
    <row r="106" spans="1:12" x14ac:dyDescent="0.25">
      <c r="A106" s="28">
        <v>104</v>
      </c>
      <c r="B106" s="15"/>
      <c r="C106" s="15"/>
      <c r="D106" s="15" t="s">
        <v>150</v>
      </c>
      <c r="E106" s="21"/>
      <c r="F106" s="14">
        <f>IFERROR(SUMIFS(ENTRADAS[CANTIDAD],ENTRADAS[Columna1],INVENTARIO[[#This Row],[DESCRIPCION]],ENTRADAS[LOTE],INVENTARIO[[#This Row],[CATALOGO]]),"-")</f>
        <v>0</v>
      </c>
      <c r="G106" s="14">
        <f>IFERROR(SUMIFS(SALIDAS[CANTIDAD],SALIDAS[DESCRIPCION],INVENTARIO[[#This Row],[DESCRIPCION]],SALIDAS[LOTE],INVENTARIO[[#This Row],[CATALOGO]]),"-")</f>
        <v>0</v>
      </c>
      <c r="H106" s="6"/>
      <c r="I106" s="6"/>
      <c r="J106" s="14">
        <f>INVENTARIO[[#This Row],[ENTRADAS]]-INVENTARIO[[#This Row],[SALIDAS]]</f>
        <v>0</v>
      </c>
      <c r="K106" s="5"/>
      <c r="L106" s="10"/>
    </row>
    <row r="107" spans="1:12" x14ac:dyDescent="0.25">
      <c r="A107" s="28">
        <v>105</v>
      </c>
      <c r="B107" s="15"/>
      <c r="C107" s="13"/>
      <c r="D107" s="12" t="s">
        <v>144</v>
      </c>
      <c r="E107" s="21"/>
      <c r="F107" s="14">
        <f>IFERROR(SUMIFS(ENTRADAS[CANTIDAD],ENTRADAS[Columna1],INVENTARIO[[#This Row],[DESCRIPCION]],ENTRADAS[LOTE],INVENTARIO[[#This Row],[CATALOGO]]),"-")</f>
        <v>0</v>
      </c>
      <c r="G107" s="14">
        <f>IFERROR(SUMIFS(SALIDAS[CANTIDAD],SALIDAS[DESCRIPCION],INVENTARIO[[#This Row],[DESCRIPCION]],SALIDAS[LOTE],INVENTARIO[[#This Row],[CATALOGO]]),"-")</f>
        <v>0</v>
      </c>
      <c r="H107" s="6"/>
      <c r="I107" s="6"/>
      <c r="J107" s="14">
        <f>INVENTARIO[[#This Row],[ENTRADAS]]-INVENTARIO[[#This Row],[SALIDAS]]</f>
        <v>0</v>
      </c>
      <c r="K107" s="5"/>
      <c r="L107" s="10"/>
    </row>
    <row r="108" spans="1:12" x14ac:dyDescent="0.25">
      <c r="A108" s="28">
        <v>106</v>
      </c>
      <c r="B108" s="15"/>
      <c r="C108" s="15"/>
      <c r="D108" s="15" t="s">
        <v>145</v>
      </c>
      <c r="E108" s="21"/>
      <c r="F108" s="14">
        <f>IFERROR(SUMIFS(ENTRADAS[CANTIDAD],ENTRADAS[Columna1],INVENTARIO[[#This Row],[DESCRIPCION]],ENTRADAS[LOTE],INVENTARIO[[#This Row],[CATALOGO]]),"-")</f>
        <v>0</v>
      </c>
      <c r="G108" s="14">
        <f>IFERROR(SUMIFS(SALIDAS[CANTIDAD],SALIDAS[DESCRIPCION],INVENTARIO[[#This Row],[DESCRIPCION]],SALIDAS[LOTE],INVENTARIO[[#This Row],[CATALOGO]]),"-")</f>
        <v>0</v>
      </c>
      <c r="H108" s="6"/>
      <c r="I108" s="6"/>
      <c r="J108" s="14">
        <f>INVENTARIO[[#This Row],[ENTRADAS]]-INVENTARIO[[#This Row],[SALIDAS]]</f>
        <v>0</v>
      </c>
      <c r="K108" s="5"/>
      <c r="L108" s="10"/>
    </row>
    <row r="109" spans="1:12" x14ac:dyDescent="0.25">
      <c r="A109" s="28">
        <v>107</v>
      </c>
      <c r="B109" s="15"/>
      <c r="C109" s="13"/>
      <c r="D109" s="12" t="s">
        <v>153</v>
      </c>
      <c r="E109" s="21"/>
      <c r="F109" s="14">
        <f>IFERROR(SUMIFS(ENTRADAS[CANTIDAD],ENTRADAS[Columna1],INVENTARIO[[#This Row],[DESCRIPCION]],ENTRADAS[LOTE],INVENTARIO[[#This Row],[CATALOGO]]),"-")</f>
        <v>0</v>
      </c>
      <c r="G109" s="14">
        <f>IFERROR(SUMIFS(SALIDAS[CANTIDAD],SALIDAS[DESCRIPCION],INVENTARIO[[#This Row],[DESCRIPCION]],SALIDAS[LOTE],INVENTARIO[[#This Row],[CATALOGO]]),"-")</f>
        <v>0</v>
      </c>
      <c r="H109" s="6"/>
      <c r="I109" s="6"/>
      <c r="J109" s="14">
        <f>INVENTARIO[[#This Row],[ENTRADAS]]-INVENTARIO[[#This Row],[SALIDAS]]</f>
        <v>0</v>
      </c>
      <c r="K109" s="5"/>
      <c r="L109" s="10"/>
    </row>
    <row r="110" spans="1:12" x14ac:dyDescent="0.25">
      <c r="A110" s="28">
        <v>108</v>
      </c>
      <c r="B110" s="15"/>
      <c r="C110" s="15"/>
      <c r="D110" s="15" t="s">
        <v>149</v>
      </c>
      <c r="E110" s="21"/>
      <c r="F110" s="14">
        <f>IFERROR(SUMIFS(ENTRADAS[CANTIDAD],ENTRADAS[Columna1],INVENTARIO[[#This Row],[DESCRIPCION]],ENTRADAS[LOTE],INVENTARIO[[#This Row],[CATALOGO]]),"-")</f>
        <v>0</v>
      </c>
      <c r="G110" s="14">
        <f>IFERROR(SUMIFS(SALIDAS[CANTIDAD],SALIDAS[DESCRIPCION],INVENTARIO[[#This Row],[DESCRIPCION]],SALIDAS[LOTE],INVENTARIO[[#This Row],[CATALOGO]]),"-")</f>
        <v>0</v>
      </c>
      <c r="H110" s="6"/>
      <c r="I110" s="6"/>
      <c r="J110" s="14">
        <f>INVENTARIO[[#This Row],[ENTRADAS]]-INVENTARIO[[#This Row],[SALIDAS]]</f>
        <v>0</v>
      </c>
      <c r="K110" s="5"/>
      <c r="L110" s="10"/>
    </row>
    <row r="111" spans="1:12" x14ac:dyDescent="0.25">
      <c r="A111" s="28">
        <v>109</v>
      </c>
      <c r="B111" s="15"/>
      <c r="C111" s="13"/>
      <c r="D111" s="12" t="s">
        <v>143</v>
      </c>
      <c r="E111" s="21"/>
      <c r="F111" s="17">
        <f>IFERROR(SUMIFS(ENTRADAS[CANTIDAD],ENTRADAS[Columna1],INVENTARIO[[#This Row],[DESCRIPCION]],ENTRADAS[LOTE],INVENTARIO[[#This Row],[CATALOGO]]),"-")</f>
        <v>0</v>
      </c>
      <c r="G111" s="17">
        <f>IFERROR(SUMIFS(SALIDAS[CANTIDAD],SALIDAS[DESCRIPCION],INVENTARIO[[#This Row],[DESCRIPCION]],SALIDAS[LOTE],INVENTARIO[[#This Row],[CATALOGO]]),"-")</f>
        <v>0</v>
      </c>
      <c r="H111" s="18"/>
      <c r="I111" s="18"/>
      <c r="J111" s="17">
        <f>INVENTARIO[[#This Row],[ENTRADAS]]-INVENTARIO[[#This Row],[SALIDAS]]</f>
        <v>0</v>
      </c>
      <c r="K111" s="16"/>
      <c r="L111" s="19"/>
    </row>
    <row r="112" spans="1:12" x14ac:dyDescent="0.25">
      <c r="A112" s="28">
        <v>110</v>
      </c>
      <c r="B112" s="15"/>
      <c r="C112" s="15"/>
      <c r="D112" s="15" t="s">
        <v>246</v>
      </c>
      <c r="E112" s="21"/>
      <c r="F112" s="17">
        <f>IFERROR(SUMIFS(ENTRADAS[CANTIDAD],ENTRADAS[Columna1],INVENTARIO[[#This Row],[DESCRIPCION]],ENTRADAS[LOTE],INVENTARIO[[#This Row],[CATALOGO]]),"-")</f>
        <v>0</v>
      </c>
      <c r="G112" s="17">
        <f>IFERROR(SUMIFS(SALIDAS[CANTIDAD],SALIDAS[DESCRIPCION],INVENTARIO[[#This Row],[DESCRIPCION]],SALIDAS[LOTE],INVENTARIO[[#This Row],[CATALOGO]]),"-")</f>
        <v>0</v>
      </c>
      <c r="H112" s="18"/>
      <c r="I112" s="18"/>
      <c r="J112" s="17">
        <f>INVENTARIO[[#This Row],[ENTRADAS]]-INVENTARIO[[#This Row],[SALIDAS]]</f>
        <v>0</v>
      </c>
      <c r="K112" s="16"/>
      <c r="L112" s="19"/>
    </row>
    <row r="113" spans="1:12" x14ac:dyDescent="0.25">
      <c r="A113" s="28">
        <v>111</v>
      </c>
      <c r="B113" s="15"/>
      <c r="C113" s="13"/>
      <c r="D113" s="12" t="s">
        <v>245</v>
      </c>
      <c r="E113" s="21"/>
      <c r="F113" s="17">
        <f>IFERROR(SUMIFS(ENTRADAS[CANTIDAD],ENTRADAS[Columna1],INVENTARIO[[#This Row],[DESCRIPCION]],ENTRADAS[LOTE],INVENTARIO[[#This Row],[CATALOGO]]),"-")</f>
        <v>0</v>
      </c>
      <c r="G113" s="17">
        <f>IFERROR(SUMIFS(SALIDAS[CANTIDAD],SALIDAS[DESCRIPCION],INVENTARIO[[#This Row],[DESCRIPCION]],SALIDAS[LOTE],INVENTARIO[[#This Row],[CATALOGO]]),"-")</f>
        <v>0</v>
      </c>
      <c r="H113" s="18"/>
      <c r="I113" s="18"/>
      <c r="J113" s="17">
        <f>INVENTARIO[[#This Row],[ENTRADAS]]-INVENTARIO[[#This Row],[SALIDAS]]</f>
        <v>0</v>
      </c>
      <c r="K113" s="16"/>
      <c r="L113" s="19"/>
    </row>
    <row r="114" spans="1:12" x14ac:dyDescent="0.25">
      <c r="A114" s="28">
        <v>112</v>
      </c>
      <c r="B114" s="15"/>
      <c r="C114" s="15"/>
      <c r="D114" s="15" t="s">
        <v>227</v>
      </c>
      <c r="E114" s="21"/>
      <c r="F114" s="17">
        <f>IFERROR(SUMIFS(ENTRADAS[CANTIDAD],ENTRADAS[Columna1],INVENTARIO[[#This Row],[DESCRIPCION]],ENTRADAS[LOTE],INVENTARIO[[#This Row],[CATALOGO]]),"-")</f>
        <v>0</v>
      </c>
      <c r="G114" s="17">
        <f>IFERROR(SUMIFS(SALIDAS[CANTIDAD],SALIDAS[DESCRIPCION],INVENTARIO[[#This Row],[DESCRIPCION]],SALIDAS[LOTE],INVENTARIO[[#This Row],[CATALOGO]]),"-")</f>
        <v>0</v>
      </c>
      <c r="H114" s="18"/>
      <c r="I114" s="18"/>
      <c r="J114" s="17">
        <f>INVENTARIO[[#This Row],[ENTRADAS]]-INVENTARIO[[#This Row],[SALIDAS]]</f>
        <v>0</v>
      </c>
      <c r="K114" s="16"/>
      <c r="L114" s="19"/>
    </row>
    <row r="115" spans="1:12" x14ac:dyDescent="0.25">
      <c r="A115" s="28">
        <v>113</v>
      </c>
      <c r="B115" s="15"/>
      <c r="C115" s="13"/>
      <c r="D115" s="12" t="s">
        <v>226</v>
      </c>
      <c r="E115" s="21"/>
      <c r="F115" s="17">
        <f>IFERROR(SUMIFS(ENTRADAS[CANTIDAD],ENTRADAS[Columna1],INVENTARIO[[#This Row],[DESCRIPCION]],ENTRADAS[LOTE],INVENTARIO[[#This Row],[CATALOGO]]),"-")</f>
        <v>0</v>
      </c>
      <c r="G115" s="17">
        <f>IFERROR(SUMIFS(SALIDAS[CANTIDAD],SALIDAS[DESCRIPCION],INVENTARIO[[#This Row],[DESCRIPCION]],SALIDAS[LOTE],INVENTARIO[[#This Row],[CATALOGO]]),"-")</f>
        <v>0</v>
      </c>
      <c r="H115" s="18"/>
      <c r="I115" s="18"/>
      <c r="J115" s="17">
        <f>INVENTARIO[[#This Row],[ENTRADAS]]-INVENTARIO[[#This Row],[SALIDAS]]</f>
        <v>0</v>
      </c>
      <c r="K115" s="16"/>
      <c r="L115" s="19"/>
    </row>
    <row r="116" spans="1:12" x14ac:dyDescent="0.25">
      <c r="A116" s="28">
        <v>114</v>
      </c>
      <c r="B116" s="15"/>
      <c r="C116" s="15"/>
      <c r="D116" s="15" t="s">
        <v>23</v>
      </c>
      <c r="E116" s="21"/>
      <c r="F116" s="18">
        <f>IFERROR(SUMIFS(ENTRADAS[CANTIDAD],ENTRADAS[Columna1],INVENTARIO[[#This Row],[DESCRIPCION]],ENTRADAS[LOTE],INVENTARIO[[#This Row],[CATALOGO]]),"-")</f>
        <v>0</v>
      </c>
      <c r="G116" s="18">
        <f>IFERROR(SUMIFS(SALIDAS[CANTIDAD],SALIDAS[DESCRIPCION],INVENTARIO[[#This Row],[DESCRIPCION]],SALIDAS[LOTE],INVENTARIO[[#This Row],[CATALOGO]]),"-")</f>
        <v>0</v>
      </c>
      <c r="H116" s="18"/>
      <c r="I116" s="18"/>
      <c r="J116" s="18">
        <f>INVENTARIO[[#This Row],[ENTRADAS]]-INVENTARIO[[#This Row],[SALIDAS]]</f>
        <v>0</v>
      </c>
      <c r="K116" s="16"/>
      <c r="L116" s="19"/>
    </row>
    <row r="117" spans="1:12" x14ac:dyDescent="0.25">
      <c r="A117" s="28">
        <v>115</v>
      </c>
      <c r="B117" s="15"/>
      <c r="C117" s="13"/>
      <c r="D117" s="12" t="s">
        <v>119</v>
      </c>
      <c r="E117" s="21"/>
      <c r="F117" s="17">
        <f>IFERROR(SUMIFS(ENTRADAS[CANTIDAD],ENTRADAS[Columna1],INVENTARIO[[#This Row],[DESCRIPCION]],ENTRADAS[LOTE],INVENTARIO[[#This Row],[CATALOGO]]),"-")</f>
        <v>0</v>
      </c>
      <c r="G117" s="17">
        <f>IFERROR(SUMIFS(SALIDAS[CANTIDAD],SALIDAS[DESCRIPCION],INVENTARIO[[#This Row],[DESCRIPCION]],SALIDAS[LOTE],INVENTARIO[[#This Row],[CATALOGO]]),"-")</f>
        <v>0</v>
      </c>
      <c r="H117" s="18"/>
      <c r="I117" s="18"/>
      <c r="J117" s="17">
        <f>INVENTARIO[[#This Row],[ENTRADAS]]-INVENTARIO[[#This Row],[SALIDAS]]</f>
        <v>0</v>
      </c>
      <c r="K117" s="16"/>
      <c r="L117" s="19"/>
    </row>
    <row r="118" spans="1:12" x14ac:dyDescent="0.25">
      <c r="A118" s="28">
        <v>116</v>
      </c>
      <c r="B118" s="15"/>
      <c r="C118" s="15"/>
      <c r="D118" s="15" t="s">
        <v>11</v>
      </c>
      <c r="E118" s="21"/>
      <c r="F118" s="18">
        <f>IFERROR(SUMIFS(ENTRADAS[CANTIDAD],ENTRADAS[Columna1],INVENTARIO[[#This Row],[DESCRIPCION]],ENTRADAS[LOTE],INVENTARIO[[#This Row],[CATALOGO]]),"-")</f>
        <v>0</v>
      </c>
      <c r="G118" s="18">
        <f>IFERROR(SUMIFS(SALIDAS[CANTIDAD],SALIDAS[DESCRIPCION],INVENTARIO[[#This Row],[DESCRIPCION]],SALIDAS[LOTE],INVENTARIO[[#This Row],[CATALOGO]]),"-")</f>
        <v>0</v>
      </c>
      <c r="H118" s="18"/>
      <c r="I118" s="18"/>
      <c r="J118" s="18">
        <f>INVENTARIO[[#This Row],[ENTRADAS]]-INVENTARIO[[#This Row],[SALIDAS]]</f>
        <v>0</v>
      </c>
      <c r="K118" s="16"/>
      <c r="L118" s="19"/>
    </row>
    <row r="119" spans="1:12" x14ac:dyDescent="0.25">
      <c r="A119" s="28">
        <v>117</v>
      </c>
      <c r="B119" s="15"/>
      <c r="C119" s="13"/>
      <c r="D119" s="12" t="s">
        <v>86</v>
      </c>
      <c r="E119" s="21"/>
      <c r="F119" s="18">
        <f>IFERROR(SUMIFS(ENTRADAS[CANTIDAD],ENTRADAS[Columna1],INVENTARIO[[#This Row],[DESCRIPCION]],ENTRADAS[LOTE],INVENTARIO[[#This Row],[CATALOGO]]),"-")</f>
        <v>0</v>
      </c>
      <c r="G119" s="18">
        <f>IFERROR(SUMIFS(SALIDAS[CANTIDAD],SALIDAS[DESCRIPCION],INVENTARIO[[#This Row],[DESCRIPCION]],SALIDAS[LOTE],INVENTARIO[[#This Row],[CATALOGO]]),"-")</f>
        <v>0</v>
      </c>
      <c r="H119" s="18"/>
      <c r="I119" s="18"/>
      <c r="J119" s="18">
        <f>INVENTARIO[[#This Row],[ENTRADAS]]-INVENTARIO[[#This Row],[SALIDAS]]</f>
        <v>0</v>
      </c>
      <c r="K119" s="16"/>
      <c r="L119" s="19"/>
    </row>
    <row r="120" spans="1:12" x14ac:dyDescent="0.25">
      <c r="A120" s="28">
        <v>118</v>
      </c>
      <c r="B120" s="15"/>
      <c r="C120" s="15"/>
      <c r="D120" s="15" t="s">
        <v>120</v>
      </c>
      <c r="E120" s="21"/>
      <c r="F120" s="17">
        <f>IFERROR(SUMIFS(ENTRADAS[CANTIDAD],ENTRADAS[Columna1],INVENTARIO[[#This Row],[DESCRIPCION]],ENTRADAS[LOTE],INVENTARIO[[#This Row],[CATALOGO]]),"-")</f>
        <v>0</v>
      </c>
      <c r="G120" s="17">
        <f>IFERROR(SUMIFS(SALIDAS[CANTIDAD],SALIDAS[DESCRIPCION],INVENTARIO[[#This Row],[DESCRIPCION]],SALIDAS[LOTE],INVENTARIO[[#This Row],[CATALOGO]]),"-")</f>
        <v>0</v>
      </c>
      <c r="H120" s="18"/>
      <c r="I120" s="18"/>
      <c r="J120" s="17">
        <f>INVENTARIO[[#This Row],[ENTRADAS]]-INVENTARIO[[#This Row],[SALIDAS]]</f>
        <v>0</v>
      </c>
      <c r="K120" s="16"/>
      <c r="L120" s="19"/>
    </row>
    <row r="121" spans="1:12" x14ac:dyDescent="0.25">
      <c r="A121" s="28">
        <v>119</v>
      </c>
      <c r="B121" s="15"/>
      <c r="C121" s="13"/>
      <c r="D121" s="12" t="s">
        <v>87</v>
      </c>
      <c r="E121" s="21"/>
      <c r="F121" s="18">
        <f>IFERROR(SUMIFS(ENTRADAS[CANTIDAD],ENTRADAS[Columna1],INVENTARIO[[#This Row],[DESCRIPCION]],ENTRADAS[LOTE],INVENTARIO[[#This Row],[CATALOGO]]),"-")</f>
        <v>0</v>
      </c>
      <c r="G121" s="18">
        <f>IFERROR(SUMIFS(SALIDAS[CANTIDAD],SALIDAS[DESCRIPCION],INVENTARIO[[#This Row],[DESCRIPCION]],SALIDAS[LOTE],INVENTARIO[[#This Row],[CATALOGO]]),"-")</f>
        <v>0</v>
      </c>
      <c r="H121" s="18"/>
      <c r="I121" s="18"/>
      <c r="J121" s="18">
        <f>INVENTARIO[[#This Row],[ENTRADAS]]-INVENTARIO[[#This Row],[SALIDAS]]</f>
        <v>0</v>
      </c>
      <c r="K121" s="16"/>
      <c r="L121" s="19"/>
    </row>
    <row r="122" spans="1:12" x14ac:dyDescent="0.25">
      <c r="A122" s="28">
        <v>120</v>
      </c>
      <c r="B122" s="15"/>
      <c r="C122" s="15"/>
      <c r="D122" s="15" t="s">
        <v>121</v>
      </c>
      <c r="E122" s="21"/>
      <c r="F122" s="17">
        <f>IFERROR(SUMIFS(ENTRADAS[CANTIDAD],ENTRADAS[Columna1],INVENTARIO[[#This Row],[DESCRIPCION]],ENTRADAS[LOTE],INVENTARIO[[#This Row],[CATALOGO]]),"-")</f>
        <v>0</v>
      </c>
      <c r="G122" s="17">
        <f>IFERROR(SUMIFS(SALIDAS[CANTIDAD],SALIDAS[DESCRIPCION],INVENTARIO[[#This Row],[DESCRIPCION]],SALIDAS[LOTE],INVENTARIO[[#This Row],[CATALOGO]]),"-")</f>
        <v>0</v>
      </c>
      <c r="H122" s="18"/>
      <c r="I122" s="18"/>
      <c r="J122" s="17">
        <f>INVENTARIO[[#This Row],[ENTRADAS]]-INVENTARIO[[#This Row],[SALIDAS]]</f>
        <v>0</v>
      </c>
      <c r="K122" s="16"/>
      <c r="L122" s="19"/>
    </row>
    <row r="123" spans="1:12" x14ac:dyDescent="0.25">
      <c r="A123" s="28">
        <v>121</v>
      </c>
      <c r="B123" s="15"/>
      <c r="C123" s="13"/>
      <c r="D123" s="12" t="s">
        <v>117</v>
      </c>
      <c r="E123" s="21"/>
      <c r="F123" s="18">
        <f>IFERROR(SUMIFS(ENTRADAS[CANTIDAD],ENTRADAS[Columna1],INVENTARIO[[#This Row],[DESCRIPCION]],ENTRADAS[LOTE],INVENTARIO[[#This Row],[CATALOGO]]),"-")</f>
        <v>0</v>
      </c>
      <c r="G123" s="18">
        <f>IFERROR(SUMIFS(SALIDAS[CANTIDAD],SALIDAS[DESCRIPCION],INVENTARIO[[#This Row],[DESCRIPCION]],SALIDAS[LOTE],INVENTARIO[[#This Row],[CATALOGO]]),"-")</f>
        <v>0</v>
      </c>
      <c r="H123" s="18"/>
      <c r="I123" s="18"/>
      <c r="J123" s="18">
        <f>INVENTARIO[[#This Row],[ENTRADAS]]-INVENTARIO[[#This Row],[SALIDAS]]</f>
        <v>0</v>
      </c>
      <c r="K123" s="16"/>
      <c r="L123" s="19"/>
    </row>
    <row r="124" spans="1:12" x14ac:dyDescent="0.25">
      <c r="A124" s="28">
        <v>122</v>
      </c>
      <c r="B124" s="15"/>
      <c r="C124" s="15"/>
      <c r="D124" s="15" t="s">
        <v>118</v>
      </c>
      <c r="E124" s="21"/>
      <c r="F124" s="18">
        <f>IFERROR(SUMIFS(ENTRADAS[CANTIDAD],ENTRADAS[Columna1],INVENTARIO[[#This Row],[DESCRIPCION]],ENTRADAS[LOTE],INVENTARIO[[#This Row],[CATALOGO]]),"-")</f>
        <v>0</v>
      </c>
      <c r="G124" s="18">
        <f>IFERROR(SUMIFS(SALIDAS[CANTIDAD],SALIDAS[DESCRIPCION],INVENTARIO[[#This Row],[DESCRIPCION]],SALIDAS[LOTE],INVENTARIO[[#This Row],[CATALOGO]]),"-")</f>
        <v>0</v>
      </c>
      <c r="H124" s="18">
        <v>0</v>
      </c>
      <c r="I124" s="18">
        <v>0</v>
      </c>
      <c r="J124" s="18">
        <f>INVENTARIO[[#This Row],[ENTRADAS]]-INVENTARIO[[#This Row],[SALIDAS]]</f>
        <v>0</v>
      </c>
      <c r="K124" s="16"/>
      <c r="L124" s="19"/>
    </row>
    <row r="125" spans="1:12" x14ac:dyDescent="0.25">
      <c r="A125" s="28">
        <v>123</v>
      </c>
      <c r="B125" s="15"/>
      <c r="C125" s="13"/>
      <c r="D125" s="12" t="s">
        <v>115</v>
      </c>
      <c r="E125" s="21"/>
      <c r="F125" s="18">
        <f>IFERROR(SUMIFS(ENTRADAS[CANTIDAD],ENTRADAS[Columna1],INVENTARIO[[#This Row],[DESCRIPCION]],ENTRADAS[LOTE],INVENTARIO[[#This Row],[CATALOGO]]),"-")</f>
        <v>0</v>
      </c>
      <c r="G125" s="18">
        <f>IFERROR(SUMIFS(SALIDAS[CANTIDAD],SALIDAS[DESCRIPCION],INVENTARIO[[#This Row],[DESCRIPCION]],SALIDAS[LOTE],INVENTARIO[[#This Row],[CATALOGO]]),"-")</f>
        <v>0</v>
      </c>
      <c r="H125" s="18"/>
      <c r="I125" s="18"/>
      <c r="J125" s="18">
        <f>INVENTARIO[[#This Row],[ENTRADAS]]-INVENTARIO[[#This Row],[SALIDAS]]</f>
        <v>0</v>
      </c>
      <c r="K125" s="16"/>
      <c r="L125" s="19"/>
    </row>
    <row r="126" spans="1:12" x14ac:dyDescent="0.25">
      <c r="A126" s="28">
        <v>124</v>
      </c>
      <c r="B126" s="15"/>
      <c r="C126" s="15"/>
      <c r="D126" s="15" t="s">
        <v>116</v>
      </c>
      <c r="E126" s="21"/>
      <c r="F126" s="18">
        <f>IFERROR(SUMIFS(ENTRADAS[CANTIDAD],ENTRADAS[Columna1],INVENTARIO[[#This Row],[DESCRIPCION]],ENTRADAS[LOTE],INVENTARIO[[#This Row],[CATALOGO]]),"-")</f>
        <v>0</v>
      </c>
      <c r="G126" s="18">
        <f>IFERROR(SUMIFS(SALIDAS[CANTIDAD],SALIDAS[DESCRIPCION],INVENTARIO[[#This Row],[DESCRIPCION]],SALIDAS[LOTE],INVENTARIO[[#This Row],[CATALOGO]]),"-")</f>
        <v>0</v>
      </c>
      <c r="H126" s="18"/>
      <c r="I126" s="18"/>
      <c r="J126" s="18">
        <f>INVENTARIO[[#This Row],[ENTRADAS]]-INVENTARIO[[#This Row],[SALIDAS]]</f>
        <v>0</v>
      </c>
      <c r="K126" s="16"/>
      <c r="L126" s="19"/>
    </row>
    <row r="127" spans="1:12" x14ac:dyDescent="0.25">
      <c r="A127" s="28">
        <v>125</v>
      </c>
      <c r="B127" s="15"/>
      <c r="C127" s="13"/>
      <c r="D127" s="12" t="s">
        <v>88</v>
      </c>
      <c r="E127" s="21"/>
      <c r="F127" s="18">
        <f>IFERROR(SUMIFS(ENTRADAS[CANTIDAD],ENTRADAS[Columna1],INVENTARIO[[#This Row],[DESCRIPCION]],ENTRADAS[LOTE],INVENTARIO[[#This Row],[CATALOGO]]),"-")</f>
        <v>0</v>
      </c>
      <c r="G127" s="18">
        <f>IFERROR(SUMIFS(SALIDAS[CANTIDAD],SALIDAS[DESCRIPCION],INVENTARIO[[#This Row],[DESCRIPCION]],SALIDAS[LOTE],INVENTARIO[[#This Row],[CATALOGO]]),"-")</f>
        <v>0</v>
      </c>
      <c r="H127" s="18"/>
      <c r="I127" s="18"/>
      <c r="J127" s="18">
        <f>INVENTARIO[[#This Row],[ENTRADAS]]-INVENTARIO[[#This Row],[SALIDAS]]</f>
        <v>0</v>
      </c>
      <c r="K127" s="16"/>
      <c r="L127" s="19"/>
    </row>
    <row r="128" spans="1:12" x14ac:dyDescent="0.25">
      <c r="A128" s="28">
        <v>126</v>
      </c>
      <c r="B128" s="15"/>
      <c r="C128" s="15"/>
      <c r="D128" s="15" t="s">
        <v>34</v>
      </c>
      <c r="E128" s="21"/>
      <c r="F128" s="18">
        <f>IFERROR(SUMIFS(ENTRADAS[CANTIDAD],ENTRADAS[Columna1],INVENTARIO[[#This Row],[DESCRIPCION]],ENTRADAS[LOTE],INVENTARIO[[#This Row],[CATALOGO]]),"-")</f>
        <v>0</v>
      </c>
      <c r="G128" s="18">
        <f>IFERROR(SUMIFS(SALIDAS[CANTIDAD],SALIDAS[DESCRIPCION],INVENTARIO[[#This Row],[DESCRIPCION]],SALIDAS[LOTE],INVENTARIO[[#This Row],[CATALOGO]]),"-")</f>
        <v>0</v>
      </c>
      <c r="H128" s="18"/>
      <c r="I128" s="18"/>
      <c r="J128" s="18">
        <f>INVENTARIO[[#This Row],[ENTRADAS]]-INVENTARIO[[#This Row],[SALIDAS]]</f>
        <v>0</v>
      </c>
      <c r="K128" s="16"/>
      <c r="L128" s="19"/>
    </row>
    <row r="129" spans="1:12" x14ac:dyDescent="0.25">
      <c r="A129" s="28">
        <v>127</v>
      </c>
      <c r="B129" s="15"/>
      <c r="C129" s="13"/>
      <c r="D129" s="12" t="s">
        <v>30</v>
      </c>
      <c r="E129" s="21"/>
      <c r="F129" s="18">
        <f>IFERROR(SUMIFS(ENTRADAS[CANTIDAD],ENTRADAS[Columna1],INVENTARIO[[#This Row],[DESCRIPCION]],ENTRADAS[LOTE],INVENTARIO[[#This Row],[CATALOGO]]),"-")</f>
        <v>0</v>
      </c>
      <c r="G129" s="18">
        <f>IFERROR(SUMIFS(SALIDAS[CANTIDAD],SALIDAS[DESCRIPCION],INVENTARIO[[#This Row],[DESCRIPCION]],SALIDAS[LOTE],INVENTARIO[[#This Row],[CATALOGO]]),"-")</f>
        <v>0</v>
      </c>
      <c r="H129" s="18"/>
      <c r="I129" s="18"/>
      <c r="J129" s="18">
        <f>INVENTARIO[[#This Row],[ENTRADAS]]-INVENTARIO[[#This Row],[SALIDAS]]</f>
        <v>0</v>
      </c>
      <c r="K129" s="16"/>
      <c r="L129" s="19"/>
    </row>
    <row r="130" spans="1:12" x14ac:dyDescent="0.25">
      <c r="A130" s="28">
        <v>128</v>
      </c>
      <c r="B130" s="15"/>
      <c r="C130" s="15"/>
      <c r="D130" s="15" t="s">
        <v>27</v>
      </c>
      <c r="E130" s="21"/>
      <c r="F130" s="18">
        <f>IFERROR(SUMIFS(ENTRADAS[CANTIDAD],ENTRADAS[Columna1],INVENTARIO[[#This Row],[DESCRIPCION]],ENTRADAS[LOTE],INVENTARIO[[#This Row],[CATALOGO]]),"-")</f>
        <v>0</v>
      </c>
      <c r="G130" s="18">
        <f>IFERROR(SUMIFS(SALIDAS[CANTIDAD],SALIDAS[DESCRIPCION],INVENTARIO[[#This Row],[DESCRIPCION]],SALIDAS[LOTE],INVENTARIO[[#This Row],[CATALOGO]]),"-")</f>
        <v>0</v>
      </c>
      <c r="H130" s="18"/>
      <c r="I130" s="18"/>
      <c r="J130" s="18">
        <f>INVENTARIO[[#This Row],[ENTRADAS]]-INVENTARIO[[#This Row],[SALIDAS]]</f>
        <v>0</v>
      </c>
      <c r="K130" s="16"/>
      <c r="L130" s="19"/>
    </row>
    <row r="131" spans="1:12" x14ac:dyDescent="0.25">
      <c r="A131" s="28">
        <v>129</v>
      </c>
      <c r="B131" s="15"/>
      <c r="C131" s="13"/>
      <c r="D131" s="12" t="s">
        <v>235</v>
      </c>
      <c r="E131" s="21"/>
      <c r="F131" s="17">
        <f>IFERROR(SUMIFS(ENTRADAS[CANTIDAD],ENTRADAS[Columna1],INVENTARIO[[#This Row],[DESCRIPCION]],ENTRADAS[LOTE],INVENTARIO[[#This Row],[CATALOGO]]),"-")</f>
        <v>0</v>
      </c>
      <c r="G131" s="17">
        <f>IFERROR(SUMIFS(SALIDAS[CANTIDAD],SALIDAS[DESCRIPCION],INVENTARIO[[#This Row],[DESCRIPCION]],SALIDAS[LOTE],INVENTARIO[[#This Row],[CATALOGO]]),"-")</f>
        <v>0</v>
      </c>
      <c r="H131" s="18"/>
      <c r="I131" s="18"/>
      <c r="J131" s="17">
        <f>INVENTARIO[[#This Row],[ENTRADAS]]-INVENTARIO[[#This Row],[SALIDAS]]</f>
        <v>0</v>
      </c>
      <c r="K131" s="16"/>
      <c r="L131" s="19"/>
    </row>
    <row r="132" spans="1:12" x14ac:dyDescent="0.25">
      <c r="A132" s="28">
        <v>130</v>
      </c>
      <c r="B132" s="15"/>
      <c r="C132" s="15"/>
      <c r="D132" s="15" t="s">
        <v>42</v>
      </c>
      <c r="E132" s="21"/>
      <c r="F132" s="18">
        <f>IFERROR(SUMIFS(ENTRADAS[CANTIDAD],ENTRADAS[Columna1],INVENTARIO[[#This Row],[DESCRIPCION]],ENTRADAS[LOTE],INVENTARIO[[#This Row],[CATALOGO]]),"-")</f>
        <v>0</v>
      </c>
      <c r="G132" s="18">
        <f>IFERROR(SUMIFS(SALIDAS[CANTIDAD],SALIDAS[DESCRIPCION],INVENTARIO[[#This Row],[DESCRIPCION]],SALIDAS[LOTE],INVENTARIO[[#This Row],[CATALOGO]]),"-")</f>
        <v>0</v>
      </c>
      <c r="H132" s="18"/>
      <c r="I132" s="18"/>
      <c r="J132" s="18">
        <f>INVENTARIO[[#This Row],[ENTRADAS]]-INVENTARIO[[#This Row],[SALIDAS]]</f>
        <v>0</v>
      </c>
      <c r="K132" s="16"/>
      <c r="L132" s="19"/>
    </row>
    <row r="133" spans="1:12" x14ac:dyDescent="0.25">
      <c r="A133" s="28">
        <v>131</v>
      </c>
      <c r="B133" s="15"/>
      <c r="C133" s="13"/>
      <c r="D133" s="12" t="s">
        <v>20</v>
      </c>
      <c r="E133" s="21"/>
      <c r="F133" s="18">
        <f>IFERROR(SUMIFS(ENTRADAS[CANTIDAD],ENTRADAS[Columna1],INVENTARIO[[#This Row],[DESCRIPCION]],ENTRADAS[LOTE],INVENTARIO[[#This Row],[CATALOGO]]),"-")</f>
        <v>0</v>
      </c>
      <c r="G133" s="18">
        <f>IFERROR(SUMIFS(SALIDAS[CANTIDAD],SALIDAS[DESCRIPCION],INVENTARIO[[#This Row],[DESCRIPCION]],SALIDAS[LOTE],INVENTARIO[[#This Row],[CATALOGO]]),"-")</f>
        <v>0</v>
      </c>
      <c r="H133" s="18"/>
      <c r="I133" s="18"/>
      <c r="J133" s="18">
        <f>INVENTARIO[[#This Row],[ENTRADAS]]-INVENTARIO[[#This Row],[SALIDAS]]</f>
        <v>0</v>
      </c>
      <c r="K133" s="16"/>
      <c r="L133" s="19"/>
    </row>
    <row r="134" spans="1:12" x14ac:dyDescent="0.25">
      <c r="A134" s="28">
        <v>132</v>
      </c>
      <c r="B134" s="15"/>
      <c r="C134" s="15"/>
      <c r="D134" s="15" t="s">
        <v>228</v>
      </c>
      <c r="E134" s="21"/>
      <c r="F134" s="17">
        <f>IFERROR(SUMIFS(ENTRADAS[CANTIDAD],ENTRADAS[Columna1],INVENTARIO[[#This Row],[DESCRIPCION]],ENTRADAS[LOTE],INVENTARIO[[#This Row],[CATALOGO]]),"-")</f>
        <v>0</v>
      </c>
      <c r="G134" s="17">
        <f>IFERROR(SUMIFS(SALIDAS[CANTIDAD],SALIDAS[DESCRIPCION],INVENTARIO[[#This Row],[DESCRIPCION]],SALIDAS[LOTE],INVENTARIO[[#This Row],[CATALOGO]]),"-")</f>
        <v>0</v>
      </c>
      <c r="H134" s="18"/>
      <c r="I134" s="18"/>
      <c r="J134" s="17">
        <f>INVENTARIO[[#This Row],[ENTRADAS]]-INVENTARIO[[#This Row],[SALIDAS]]</f>
        <v>0</v>
      </c>
      <c r="K134" s="16"/>
      <c r="L134" s="19"/>
    </row>
    <row r="135" spans="1:12" x14ac:dyDescent="0.25">
      <c r="A135" s="28">
        <v>133</v>
      </c>
      <c r="B135" s="15"/>
      <c r="C135" s="13"/>
      <c r="D135" s="12" t="s">
        <v>14</v>
      </c>
      <c r="E135" s="21"/>
      <c r="F135" s="18">
        <f>IFERROR(SUMIFS(ENTRADAS[CANTIDAD],ENTRADAS[Columna1],INVENTARIO[[#This Row],[DESCRIPCION]],ENTRADAS[LOTE],INVENTARIO[[#This Row],[CATALOGO]]),"-")</f>
        <v>0</v>
      </c>
      <c r="G135" s="18">
        <f>IFERROR(SUMIFS(SALIDAS[CANTIDAD],SALIDAS[DESCRIPCION],INVENTARIO[[#This Row],[DESCRIPCION]],SALIDAS[LOTE],INVENTARIO[[#This Row],[CATALOGO]]),"-")</f>
        <v>0</v>
      </c>
      <c r="H135" s="18"/>
      <c r="I135" s="18"/>
      <c r="J135" s="18">
        <f>INVENTARIO[[#This Row],[ENTRADAS]]-INVENTARIO[[#This Row],[SALIDAS]]</f>
        <v>0</v>
      </c>
      <c r="K135" s="16"/>
      <c r="L135" s="19"/>
    </row>
    <row r="136" spans="1:12" x14ac:dyDescent="0.25">
      <c r="A136" s="28">
        <v>134</v>
      </c>
      <c r="B136" s="15"/>
      <c r="C136" s="15"/>
      <c r="D136" s="15" t="s">
        <v>67</v>
      </c>
      <c r="E136" s="21"/>
      <c r="F136" s="18">
        <f>IFERROR(SUMIFS(ENTRADAS[CANTIDAD],ENTRADAS[Columna1],INVENTARIO[[#This Row],[DESCRIPCION]],ENTRADAS[LOTE],INVENTARIO[[#This Row],[CATALOGO]]),"-")</f>
        <v>0</v>
      </c>
      <c r="G136" s="18">
        <f>IFERROR(SUMIFS(SALIDAS[CANTIDAD],SALIDAS[DESCRIPCION],INVENTARIO[[#This Row],[DESCRIPCION]],SALIDAS[LOTE],INVENTARIO[[#This Row],[CATALOGO]]),"-")</f>
        <v>0</v>
      </c>
      <c r="H136" s="18"/>
      <c r="I136" s="18"/>
      <c r="J136" s="18">
        <f>INVENTARIO[[#This Row],[ENTRADAS]]-INVENTARIO[[#This Row],[SALIDAS]]</f>
        <v>0</v>
      </c>
      <c r="K136" s="16"/>
      <c r="L136" s="19"/>
    </row>
    <row r="137" spans="1:12" x14ac:dyDescent="0.25">
      <c r="A137" s="28">
        <v>135</v>
      </c>
      <c r="B137" s="15"/>
      <c r="C137" s="13"/>
      <c r="D137" s="12" t="s">
        <v>123</v>
      </c>
      <c r="E137" s="21"/>
      <c r="F137" s="17">
        <f>IFERROR(SUMIFS(ENTRADAS[CANTIDAD],ENTRADAS[Columna1],INVENTARIO[[#This Row],[DESCRIPCION]],ENTRADAS[LOTE],INVENTARIO[[#This Row],[CATALOGO]]),"-")</f>
        <v>0</v>
      </c>
      <c r="G137" s="17">
        <f>IFERROR(SUMIFS(SALIDAS[CANTIDAD],SALIDAS[DESCRIPCION],INVENTARIO[[#This Row],[DESCRIPCION]],SALIDAS[LOTE],INVENTARIO[[#This Row],[CATALOGO]]),"-")</f>
        <v>0</v>
      </c>
      <c r="H137" s="18"/>
      <c r="I137" s="18"/>
      <c r="J137" s="17">
        <f>INVENTARIO[[#This Row],[ENTRADAS]]-INVENTARIO[[#This Row],[SALIDAS]]</f>
        <v>0</v>
      </c>
      <c r="K137" s="16"/>
      <c r="L137" s="19"/>
    </row>
    <row r="138" spans="1:12" x14ac:dyDescent="0.25">
      <c r="A138" s="28">
        <v>136</v>
      </c>
      <c r="B138" s="15"/>
      <c r="C138" s="15"/>
      <c r="D138" s="15" t="s">
        <v>89</v>
      </c>
      <c r="E138" s="21"/>
      <c r="F138" s="18">
        <f>IFERROR(SUMIFS(ENTRADAS[CANTIDAD],ENTRADAS[Columna1],INVENTARIO[[#This Row],[DESCRIPCION]],ENTRADAS[LOTE],INVENTARIO[[#This Row],[CATALOGO]]),"-")</f>
        <v>0</v>
      </c>
      <c r="G138" s="18">
        <f>IFERROR(SUMIFS(SALIDAS[CANTIDAD],SALIDAS[DESCRIPCION],INVENTARIO[[#This Row],[DESCRIPCION]],SALIDAS[LOTE],INVENTARIO[[#This Row],[CATALOGO]]),"-")</f>
        <v>0</v>
      </c>
      <c r="H138" s="18"/>
      <c r="I138" s="18"/>
      <c r="J138" s="18">
        <f>INVENTARIO[[#This Row],[ENTRADAS]]-INVENTARIO[[#This Row],[SALIDAS]]</f>
        <v>0</v>
      </c>
      <c r="K138" s="16"/>
      <c r="L138" s="19"/>
    </row>
    <row r="139" spans="1:12" x14ac:dyDescent="0.25">
      <c r="A139" s="28">
        <v>137</v>
      </c>
      <c r="B139" s="15"/>
      <c r="C139" s="13"/>
      <c r="D139" s="12" t="s">
        <v>91</v>
      </c>
      <c r="E139" s="21"/>
      <c r="F139" s="18">
        <f>IFERROR(SUMIFS(ENTRADAS[CANTIDAD],ENTRADAS[Columna1],INVENTARIO[[#This Row],[DESCRIPCION]],ENTRADAS[LOTE],INVENTARIO[[#This Row],[CATALOGO]]),"-")</f>
        <v>0</v>
      </c>
      <c r="G139" s="18">
        <f>IFERROR(SUMIFS(SALIDAS[CANTIDAD],SALIDAS[DESCRIPCION],INVENTARIO[[#This Row],[DESCRIPCION]],SALIDAS[LOTE],INVENTARIO[[#This Row],[CATALOGO]]),"-")</f>
        <v>0</v>
      </c>
      <c r="H139" s="18"/>
      <c r="I139" s="18"/>
      <c r="J139" s="18">
        <f>INVENTARIO[[#This Row],[ENTRADAS]]-INVENTARIO[[#This Row],[SALIDAS]]</f>
        <v>0</v>
      </c>
      <c r="K139" s="16"/>
      <c r="L139" s="19"/>
    </row>
    <row r="140" spans="1:12" x14ac:dyDescent="0.25">
      <c r="A140" s="28">
        <v>138</v>
      </c>
      <c r="B140" s="15"/>
      <c r="C140" s="15"/>
      <c r="D140" s="15" t="s">
        <v>51</v>
      </c>
      <c r="E140" s="21"/>
      <c r="F140" s="18">
        <f>IFERROR(SUMIFS(ENTRADAS[CANTIDAD],ENTRADAS[Columna1],INVENTARIO[[#This Row],[DESCRIPCION]],ENTRADAS[LOTE],INVENTARIO[[#This Row],[CATALOGO]]),"-")</f>
        <v>0</v>
      </c>
      <c r="G140" s="18">
        <f>IFERROR(SUMIFS(SALIDAS[CANTIDAD],SALIDAS[DESCRIPCION],INVENTARIO[[#This Row],[DESCRIPCION]],SALIDAS[LOTE],INVENTARIO[[#This Row],[CATALOGO]]),"-")</f>
        <v>0</v>
      </c>
      <c r="H140" s="18"/>
      <c r="I140" s="18"/>
      <c r="J140" s="18">
        <f>INVENTARIO[[#This Row],[ENTRADAS]]-INVENTARIO[[#This Row],[SALIDAS]]</f>
        <v>0</v>
      </c>
      <c r="K140" s="16"/>
      <c r="L140" s="19"/>
    </row>
    <row r="141" spans="1:12" x14ac:dyDescent="0.25">
      <c r="A141" s="28">
        <v>139</v>
      </c>
      <c r="B141" s="15"/>
      <c r="C141" s="13"/>
      <c r="D141" s="12" t="s">
        <v>193</v>
      </c>
      <c r="E141" s="21"/>
      <c r="F141" s="17">
        <f>IFERROR(SUMIFS(ENTRADAS[CANTIDAD],ENTRADAS[Columna1],INVENTARIO[[#This Row],[DESCRIPCION]],ENTRADAS[LOTE],INVENTARIO[[#This Row],[CATALOGO]]),"-")</f>
        <v>0</v>
      </c>
      <c r="G141" s="17">
        <f>IFERROR(SUMIFS(SALIDAS[CANTIDAD],SALIDAS[DESCRIPCION],INVENTARIO[[#This Row],[DESCRIPCION]],SALIDAS[LOTE],INVENTARIO[[#This Row],[CATALOGO]]),"-")</f>
        <v>0</v>
      </c>
      <c r="H141" s="18"/>
      <c r="I141" s="18"/>
      <c r="J141" s="17">
        <f>INVENTARIO[[#This Row],[ENTRADAS]]-INVENTARIO[[#This Row],[SALIDAS]]</f>
        <v>0</v>
      </c>
      <c r="K141" s="16"/>
      <c r="L141" s="19"/>
    </row>
    <row r="142" spans="1:12" x14ac:dyDescent="0.25">
      <c r="A142" s="28">
        <v>140</v>
      </c>
      <c r="B142" s="15"/>
      <c r="C142" s="15"/>
      <c r="D142" s="15" t="s">
        <v>65</v>
      </c>
      <c r="E142" s="21"/>
      <c r="F142" s="18">
        <f>IFERROR(SUMIFS(ENTRADAS[CANTIDAD],ENTRADAS[Columna1],INVENTARIO[[#This Row],[DESCRIPCION]],ENTRADAS[LOTE],INVENTARIO[[#This Row],[CATALOGO]]),"-")</f>
        <v>0</v>
      </c>
      <c r="G142" s="18">
        <f>IFERROR(SUMIFS(SALIDAS[CANTIDAD],SALIDAS[DESCRIPCION],INVENTARIO[[#This Row],[DESCRIPCION]],SALIDAS[LOTE],INVENTARIO[[#This Row],[CATALOGO]]),"-")</f>
        <v>0</v>
      </c>
      <c r="H142" s="18"/>
      <c r="I142" s="18"/>
      <c r="J142" s="18">
        <f>INVENTARIO[[#This Row],[ENTRADAS]]-INVENTARIO[[#This Row],[SALIDAS]]</f>
        <v>0</v>
      </c>
      <c r="K142" s="16"/>
      <c r="L142" s="19"/>
    </row>
    <row r="143" spans="1:12" x14ac:dyDescent="0.25">
      <c r="A143" s="28">
        <v>141</v>
      </c>
      <c r="B143" s="15"/>
      <c r="C143" s="13"/>
      <c r="D143" s="12" t="s">
        <v>64</v>
      </c>
      <c r="E143" s="21"/>
      <c r="F143" s="18">
        <f>IFERROR(SUMIFS(ENTRADAS[CANTIDAD],ENTRADAS[Columna1],INVENTARIO[[#This Row],[DESCRIPCION]],ENTRADAS[LOTE],INVENTARIO[[#This Row],[CATALOGO]]),"-")</f>
        <v>0</v>
      </c>
      <c r="G143" s="18">
        <f>IFERROR(SUMIFS(SALIDAS[CANTIDAD],SALIDAS[DESCRIPCION],INVENTARIO[[#This Row],[DESCRIPCION]],SALIDAS[LOTE],INVENTARIO[[#This Row],[CATALOGO]]),"-")</f>
        <v>0</v>
      </c>
      <c r="H143" s="18"/>
      <c r="I143" s="18"/>
      <c r="J143" s="18">
        <f>INVENTARIO[[#This Row],[ENTRADAS]]-INVENTARIO[[#This Row],[SALIDAS]]</f>
        <v>0</v>
      </c>
      <c r="K143" s="16"/>
      <c r="L143" s="19"/>
    </row>
    <row r="144" spans="1:12" x14ac:dyDescent="0.25">
      <c r="A144" s="28">
        <v>142</v>
      </c>
      <c r="B144" s="15"/>
      <c r="C144" s="15"/>
      <c r="D144" s="15" t="s">
        <v>166</v>
      </c>
      <c r="E144" s="21"/>
      <c r="F144" s="17">
        <f>IFERROR(SUMIFS(ENTRADAS[CANTIDAD],ENTRADAS[Columna1],INVENTARIO[[#This Row],[DESCRIPCION]],ENTRADAS[LOTE],INVENTARIO[[#This Row],[CATALOGO]]),"-")</f>
        <v>0</v>
      </c>
      <c r="G144" s="17">
        <f>IFERROR(SUMIFS(SALIDAS[CANTIDAD],SALIDAS[DESCRIPCION],INVENTARIO[[#This Row],[DESCRIPCION]],SALIDAS[LOTE],INVENTARIO[[#This Row],[CATALOGO]]),"-")</f>
        <v>0</v>
      </c>
      <c r="H144" s="18"/>
      <c r="I144" s="18"/>
      <c r="J144" s="17">
        <f>INVENTARIO[[#This Row],[ENTRADAS]]-INVENTARIO[[#This Row],[SALIDAS]]</f>
        <v>0</v>
      </c>
      <c r="K144" s="16"/>
      <c r="L144" s="19"/>
    </row>
    <row r="145" spans="1:12" x14ac:dyDescent="0.25">
      <c r="A145" s="28">
        <v>143</v>
      </c>
      <c r="B145" s="15"/>
      <c r="C145" s="13"/>
      <c r="D145" s="12" t="s">
        <v>194</v>
      </c>
      <c r="E145" s="21"/>
      <c r="F145" s="17">
        <f>IFERROR(SUMIFS(ENTRADAS[CANTIDAD],ENTRADAS[Columna1],INVENTARIO[[#This Row],[DESCRIPCION]],ENTRADAS[LOTE],INVENTARIO[[#This Row],[CATALOGO]]),"-")</f>
        <v>0</v>
      </c>
      <c r="G145" s="17">
        <f>IFERROR(SUMIFS(SALIDAS[CANTIDAD],SALIDAS[DESCRIPCION],INVENTARIO[[#This Row],[DESCRIPCION]],SALIDAS[LOTE],INVENTARIO[[#This Row],[CATALOGO]]),"-")</f>
        <v>0</v>
      </c>
      <c r="H145" s="18"/>
      <c r="I145" s="18"/>
      <c r="J145" s="17">
        <f>INVENTARIO[[#This Row],[ENTRADAS]]-INVENTARIO[[#This Row],[SALIDAS]]</f>
        <v>0</v>
      </c>
      <c r="K145" s="16"/>
      <c r="L145" s="19"/>
    </row>
    <row r="146" spans="1:12" x14ac:dyDescent="0.25">
      <c r="A146" s="28">
        <v>144</v>
      </c>
      <c r="B146" s="15"/>
      <c r="C146" s="15"/>
      <c r="D146" s="15" t="s">
        <v>69</v>
      </c>
      <c r="E146" s="21"/>
      <c r="F146" s="18">
        <f>IFERROR(SUMIFS(ENTRADAS[CANTIDAD],ENTRADAS[Columna1],INVENTARIO[[#This Row],[DESCRIPCION]],ENTRADAS[LOTE],INVENTARIO[[#This Row],[CATALOGO]]),"-")</f>
        <v>0</v>
      </c>
      <c r="G146" s="18">
        <f>IFERROR(SUMIFS(SALIDAS[CANTIDAD],SALIDAS[DESCRIPCION],INVENTARIO[[#This Row],[DESCRIPCION]],SALIDAS[LOTE],INVENTARIO[[#This Row],[CATALOGO]]),"-")</f>
        <v>0</v>
      </c>
      <c r="H146" s="18"/>
      <c r="I146" s="18"/>
      <c r="J146" s="18">
        <f>INVENTARIO[[#This Row],[ENTRADAS]]-INVENTARIO[[#This Row],[SALIDAS]]</f>
        <v>0</v>
      </c>
      <c r="K146" s="16"/>
      <c r="L146" s="19"/>
    </row>
    <row r="147" spans="1:12" x14ac:dyDescent="0.25">
      <c r="A147" s="28">
        <v>145</v>
      </c>
      <c r="B147" s="15"/>
      <c r="C147" s="13"/>
      <c r="D147" s="12" t="s">
        <v>94</v>
      </c>
      <c r="E147" s="21"/>
      <c r="F147" s="18">
        <f>IFERROR(SUMIFS(ENTRADAS[CANTIDAD],ENTRADAS[Columna1],INVENTARIO[[#This Row],[DESCRIPCION]],ENTRADAS[LOTE],INVENTARIO[[#This Row],[CATALOGO]]),"-")</f>
        <v>0</v>
      </c>
      <c r="G147" s="18">
        <f>IFERROR(SUMIFS(SALIDAS[CANTIDAD],SALIDAS[DESCRIPCION],INVENTARIO[[#This Row],[DESCRIPCION]],SALIDAS[LOTE],INVENTARIO[[#This Row],[CATALOGO]]),"-")</f>
        <v>0</v>
      </c>
      <c r="H147" s="18"/>
      <c r="I147" s="18"/>
      <c r="J147" s="18">
        <f>INVENTARIO[[#This Row],[ENTRADAS]]-INVENTARIO[[#This Row],[SALIDAS]]</f>
        <v>0</v>
      </c>
      <c r="K147" s="16"/>
      <c r="L147" s="19"/>
    </row>
    <row r="148" spans="1:12" x14ac:dyDescent="0.25">
      <c r="A148" s="28">
        <v>146</v>
      </c>
      <c r="B148" s="15"/>
      <c r="C148" s="15"/>
      <c r="D148" s="15" t="s">
        <v>92</v>
      </c>
      <c r="E148" s="21"/>
      <c r="F148" s="18">
        <f>IFERROR(SUMIFS(ENTRADAS[CANTIDAD],ENTRADAS[Columna1],INVENTARIO[[#This Row],[DESCRIPCION]],ENTRADAS[LOTE],INVENTARIO[[#This Row],[CATALOGO]]),"-")</f>
        <v>0</v>
      </c>
      <c r="G148" s="18">
        <f>IFERROR(SUMIFS(SALIDAS[CANTIDAD],SALIDAS[DESCRIPCION],INVENTARIO[[#This Row],[DESCRIPCION]],SALIDAS[LOTE],INVENTARIO[[#This Row],[CATALOGO]]),"-")</f>
        <v>0</v>
      </c>
      <c r="H148" s="18"/>
      <c r="I148" s="18"/>
      <c r="J148" s="18">
        <f>INVENTARIO[[#This Row],[ENTRADAS]]-INVENTARIO[[#This Row],[SALIDAS]]</f>
        <v>0</v>
      </c>
      <c r="K148" s="16"/>
      <c r="L148" s="19"/>
    </row>
    <row r="149" spans="1:12" x14ac:dyDescent="0.25">
      <c r="A149" s="28">
        <v>147</v>
      </c>
      <c r="B149" s="15"/>
      <c r="C149" s="13"/>
      <c r="D149" s="12" t="s">
        <v>229</v>
      </c>
      <c r="E149" s="21"/>
      <c r="F149" s="17">
        <f>IFERROR(SUMIFS(ENTRADAS[CANTIDAD],ENTRADAS[Columna1],INVENTARIO[[#This Row],[DESCRIPCION]],ENTRADAS[LOTE],INVENTARIO[[#This Row],[CATALOGO]]),"-")</f>
        <v>0</v>
      </c>
      <c r="G149" s="17">
        <f>IFERROR(SUMIFS(SALIDAS[CANTIDAD],SALIDAS[DESCRIPCION],INVENTARIO[[#This Row],[DESCRIPCION]],SALIDAS[LOTE],INVENTARIO[[#This Row],[CATALOGO]]),"-")</f>
        <v>0</v>
      </c>
      <c r="H149" s="18"/>
      <c r="I149" s="18"/>
      <c r="J149" s="17">
        <f>INVENTARIO[[#This Row],[ENTRADAS]]-INVENTARIO[[#This Row],[SALIDAS]]</f>
        <v>0</v>
      </c>
      <c r="K149" s="16"/>
      <c r="L149" s="19"/>
    </row>
    <row r="150" spans="1:12" x14ac:dyDescent="0.25">
      <c r="A150" s="28">
        <v>148</v>
      </c>
      <c r="B150" s="15"/>
      <c r="C150" s="15"/>
      <c r="D150" s="15" t="s">
        <v>230</v>
      </c>
      <c r="E150" s="21"/>
      <c r="F150" s="17">
        <f>IFERROR(SUMIFS(ENTRADAS[CANTIDAD],ENTRADAS[Columna1],INVENTARIO[[#This Row],[DESCRIPCION]],ENTRADAS[LOTE],INVENTARIO[[#This Row],[CATALOGO]]),"-")</f>
        <v>0</v>
      </c>
      <c r="G150" s="17">
        <f>IFERROR(SUMIFS(SALIDAS[CANTIDAD],SALIDAS[DESCRIPCION],INVENTARIO[[#This Row],[DESCRIPCION]],SALIDAS[LOTE],INVENTARIO[[#This Row],[CATALOGO]]),"-")</f>
        <v>0</v>
      </c>
      <c r="H150" s="18"/>
      <c r="I150" s="18"/>
      <c r="J150" s="17">
        <f>INVENTARIO[[#This Row],[ENTRADAS]]-INVENTARIO[[#This Row],[SALIDAS]]</f>
        <v>0</v>
      </c>
      <c r="K150" s="16"/>
      <c r="L150" s="19"/>
    </row>
    <row r="151" spans="1:12" x14ac:dyDescent="0.25">
      <c r="A151" s="28">
        <v>149</v>
      </c>
      <c r="B151" s="15"/>
      <c r="C151" s="13"/>
      <c r="D151" s="12" t="s">
        <v>25</v>
      </c>
      <c r="E151" s="21"/>
      <c r="F151" s="18">
        <f>IFERROR(SUMIFS(ENTRADAS[CANTIDAD],ENTRADAS[Columna1],INVENTARIO[[#This Row],[DESCRIPCION]],ENTRADAS[LOTE],INVENTARIO[[#This Row],[CATALOGO]]),"-")</f>
        <v>0</v>
      </c>
      <c r="G151" s="18">
        <f>IFERROR(SUMIFS(SALIDAS[CANTIDAD],SALIDAS[DESCRIPCION],INVENTARIO[[#This Row],[DESCRIPCION]],SALIDAS[LOTE],INVENTARIO[[#This Row],[CATALOGO]]),"-")</f>
        <v>0</v>
      </c>
      <c r="H151" s="18"/>
      <c r="I151" s="18"/>
      <c r="J151" s="18">
        <f>INVENTARIO[[#This Row],[ENTRADAS]]-INVENTARIO[[#This Row],[SALIDAS]]</f>
        <v>0</v>
      </c>
      <c r="K151" s="16"/>
      <c r="L151" s="19"/>
    </row>
    <row r="152" spans="1:12" x14ac:dyDescent="0.25">
      <c r="A152" s="28">
        <v>150</v>
      </c>
      <c r="B152" s="15"/>
      <c r="C152" s="15"/>
      <c r="D152" s="15" t="s">
        <v>223</v>
      </c>
      <c r="E152" s="21"/>
      <c r="F152" s="17">
        <f>IFERROR(SUMIFS(ENTRADAS[CANTIDAD],ENTRADAS[Columna1],INVENTARIO[[#This Row],[DESCRIPCION]],ENTRADAS[LOTE],INVENTARIO[[#This Row],[CATALOGO]]),"-")</f>
        <v>0</v>
      </c>
      <c r="G152" s="17">
        <f>IFERROR(SUMIFS(SALIDAS[CANTIDAD],SALIDAS[DESCRIPCION],INVENTARIO[[#This Row],[DESCRIPCION]],SALIDAS[LOTE],INVENTARIO[[#This Row],[CATALOGO]]),"-")</f>
        <v>0</v>
      </c>
      <c r="H152" s="18"/>
      <c r="I152" s="18"/>
      <c r="J152" s="17">
        <f>INVENTARIO[[#This Row],[ENTRADAS]]-INVENTARIO[[#This Row],[SALIDAS]]</f>
        <v>0</v>
      </c>
      <c r="K152" s="16"/>
      <c r="L152" s="19"/>
    </row>
    <row r="153" spans="1:12" x14ac:dyDescent="0.25">
      <c r="A153" s="28">
        <v>151</v>
      </c>
      <c r="B153" s="15"/>
      <c r="C153" s="13"/>
      <c r="D153" s="12" t="s">
        <v>93</v>
      </c>
      <c r="E153" s="21"/>
      <c r="F153" s="18">
        <f>IFERROR(SUMIFS(ENTRADAS[CANTIDAD],ENTRADAS[Columna1],INVENTARIO[[#This Row],[DESCRIPCION]],ENTRADAS[LOTE],INVENTARIO[[#This Row],[CATALOGO]]),"-")</f>
        <v>0</v>
      </c>
      <c r="G153" s="18">
        <f>IFERROR(SUMIFS(SALIDAS[CANTIDAD],SALIDAS[DESCRIPCION],INVENTARIO[[#This Row],[DESCRIPCION]],SALIDAS[LOTE],INVENTARIO[[#This Row],[CATALOGO]]),"-")</f>
        <v>0</v>
      </c>
      <c r="H153" s="18"/>
      <c r="I153" s="18"/>
      <c r="J153" s="18">
        <f>INVENTARIO[[#This Row],[ENTRADAS]]-INVENTARIO[[#This Row],[SALIDAS]]</f>
        <v>0</v>
      </c>
      <c r="K153" s="16"/>
      <c r="L153" s="19"/>
    </row>
    <row r="154" spans="1:12" x14ac:dyDescent="0.25">
      <c r="A154" s="28">
        <v>152</v>
      </c>
      <c r="B154" s="15"/>
      <c r="C154" s="15"/>
      <c r="D154" s="15" t="s">
        <v>233</v>
      </c>
      <c r="E154" s="21"/>
      <c r="F154" s="17">
        <f>IFERROR(SUMIFS(ENTRADAS[CANTIDAD],ENTRADAS[Columna1],INVENTARIO[[#This Row],[DESCRIPCION]],ENTRADAS[LOTE],INVENTARIO[[#This Row],[CATALOGO]]),"-")</f>
        <v>0</v>
      </c>
      <c r="G154" s="17">
        <f>IFERROR(SUMIFS(SALIDAS[CANTIDAD],SALIDAS[DESCRIPCION],INVENTARIO[[#This Row],[DESCRIPCION]],SALIDAS[LOTE],INVENTARIO[[#This Row],[CATALOGO]]),"-")</f>
        <v>0</v>
      </c>
      <c r="H154" s="18"/>
      <c r="I154" s="18"/>
      <c r="J154" s="17">
        <f>INVENTARIO[[#This Row],[ENTRADAS]]-INVENTARIO[[#This Row],[SALIDAS]]</f>
        <v>0</v>
      </c>
      <c r="K154" s="16"/>
      <c r="L154" s="19"/>
    </row>
    <row r="155" spans="1:12" x14ac:dyDescent="0.25">
      <c r="A155" s="28">
        <v>153</v>
      </c>
      <c r="B155" s="15"/>
      <c r="C155" s="13"/>
      <c r="D155" s="12" t="s">
        <v>196</v>
      </c>
      <c r="E155" s="21"/>
      <c r="F155" s="17">
        <f>IFERROR(SUMIFS(ENTRADAS[CANTIDAD],ENTRADAS[Columna1],INVENTARIO[[#This Row],[DESCRIPCION]],ENTRADAS[LOTE],INVENTARIO[[#This Row],[CATALOGO]]),"-")</f>
        <v>0</v>
      </c>
      <c r="G155" s="17">
        <f>IFERROR(SUMIFS(SALIDAS[CANTIDAD],SALIDAS[DESCRIPCION],INVENTARIO[[#This Row],[DESCRIPCION]],SALIDAS[LOTE],INVENTARIO[[#This Row],[CATALOGO]]),"-")</f>
        <v>0</v>
      </c>
      <c r="H155" s="18"/>
      <c r="I155" s="18"/>
      <c r="J155" s="17">
        <f>INVENTARIO[[#This Row],[ENTRADAS]]-INVENTARIO[[#This Row],[SALIDAS]]</f>
        <v>0</v>
      </c>
      <c r="K155" s="16"/>
      <c r="L155" s="19"/>
    </row>
    <row r="156" spans="1:12" x14ac:dyDescent="0.25">
      <c r="A156" s="28">
        <v>154</v>
      </c>
      <c r="B156" s="15"/>
      <c r="C156" s="15"/>
      <c r="D156" s="15" t="s">
        <v>95</v>
      </c>
      <c r="E156" s="21"/>
      <c r="F156" s="18">
        <f>IFERROR(SUMIFS(ENTRADAS[CANTIDAD],ENTRADAS[Columna1],INVENTARIO[[#This Row],[DESCRIPCION]],ENTRADAS[LOTE],INVENTARIO[[#This Row],[CATALOGO]]),"-")</f>
        <v>0</v>
      </c>
      <c r="G156" s="18">
        <f>IFERROR(SUMIFS(SALIDAS[CANTIDAD],SALIDAS[DESCRIPCION],INVENTARIO[[#This Row],[DESCRIPCION]],SALIDAS[LOTE],INVENTARIO[[#This Row],[CATALOGO]]),"-")</f>
        <v>0</v>
      </c>
      <c r="H156" s="18"/>
      <c r="I156" s="18"/>
      <c r="J156" s="18">
        <f>INVENTARIO[[#This Row],[ENTRADAS]]-INVENTARIO[[#This Row],[SALIDAS]]</f>
        <v>0</v>
      </c>
      <c r="K156" s="16"/>
      <c r="L156" s="19"/>
    </row>
    <row r="157" spans="1:12" x14ac:dyDescent="0.25">
      <c r="A157" s="28">
        <v>155</v>
      </c>
      <c r="B157" s="15"/>
      <c r="C157" s="13"/>
      <c r="D157" s="12" t="s">
        <v>195</v>
      </c>
      <c r="E157" s="21"/>
      <c r="F157" s="17">
        <f>IFERROR(SUMIFS(ENTRADAS[CANTIDAD],ENTRADAS[Columna1],INVENTARIO[[#This Row],[DESCRIPCION]],ENTRADAS[LOTE],INVENTARIO[[#This Row],[CATALOGO]]),"-")</f>
        <v>0</v>
      </c>
      <c r="G157" s="17">
        <f>IFERROR(SUMIFS(SALIDAS[CANTIDAD],SALIDAS[DESCRIPCION],INVENTARIO[[#This Row],[DESCRIPCION]],SALIDAS[LOTE],INVENTARIO[[#This Row],[CATALOGO]]),"-")</f>
        <v>0</v>
      </c>
      <c r="H157" s="18"/>
      <c r="I157" s="18"/>
      <c r="J157" s="17">
        <f>INVENTARIO[[#This Row],[ENTRADAS]]-INVENTARIO[[#This Row],[SALIDAS]]</f>
        <v>0</v>
      </c>
      <c r="K157" s="16"/>
      <c r="L157" s="19"/>
    </row>
    <row r="158" spans="1:12" x14ac:dyDescent="0.25">
      <c r="A158" s="28">
        <v>156</v>
      </c>
      <c r="B158" s="15"/>
      <c r="C158" s="15"/>
      <c r="D158" s="15" t="s">
        <v>124</v>
      </c>
      <c r="E158" s="21"/>
      <c r="F158" s="17">
        <f>IFERROR(SUMIFS(ENTRADAS[CANTIDAD],ENTRADAS[Columna1],INVENTARIO[[#This Row],[DESCRIPCION]],ENTRADAS[LOTE],INVENTARIO[[#This Row],[CATALOGO]]),"-")</f>
        <v>0</v>
      </c>
      <c r="G158" s="17">
        <f>IFERROR(SUMIFS(SALIDAS[CANTIDAD],SALIDAS[DESCRIPCION],INVENTARIO[[#This Row],[DESCRIPCION]],SALIDAS[LOTE],INVENTARIO[[#This Row],[CATALOGO]]),"-")</f>
        <v>0</v>
      </c>
      <c r="H158" s="18"/>
      <c r="I158" s="18"/>
      <c r="J158" s="17">
        <f>INVENTARIO[[#This Row],[ENTRADAS]]-INVENTARIO[[#This Row],[SALIDAS]]</f>
        <v>0</v>
      </c>
      <c r="K158" s="16"/>
      <c r="L158" s="19"/>
    </row>
    <row r="159" spans="1:12" x14ac:dyDescent="0.25">
      <c r="A159" s="28">
        <v>157</v>
      </c>
      <c r="B159" s="15"/>
      <c r="C159" s="13"/>
      <c r="D159" s="12" t="s">
        <v>19</v>
      </c>
      <c r="E159" s="21"/>
      <c r="F159" s="18">
        <f>IFERROR(SUMIFS(ENTRADAS[CANTIDAD],ENTRADAS[Columna1],INVENTARIO[[#This Row],[DESCRIPCION]],ENTRADAS[LOTE],INVENTARIO[[#This Row],[CATALOGO]]),"-")</f>
        <v>0</v>
      </c>
      <c r="G159" s="18">
        <f>IFERROR(SUMIFS(SALIDAS[CANTIDAD],SALIDAS[DESCRIPCION],INVENTARIO[[#This Row],[DESCRIPCION]],SALIDAS[LOTE],INVENTARIO[[#This Row],[CATALOGO]]),"-")</f>
        <v>0</v>
      </c>
      <c r="H159" s="18"/>
      <c r="I159" s="18"/>
      <c r="J159" s="18">
        <f>INVENTARIO[[#This Row],[ENTRADAS]]-INVENTARIO[[#This Row],[SALIDAS]]</f>
        <v>0</v>
      </c>
      <c r="K159" s="16"/>
      <c r="L159" s="19"/>
    </row>
    <row r="160" spans="1:12" x14ac:dyDescent="0.25">
      <c r="A160" s="28">
        <v>158</v>
      </c>
      <c r="B160" s="15"/>
      <c r="C160" s="15"/>
      <c r="D160" s="15" t="s">
        <v>113</v>
      </c>
      <c r="E160" s="21"/>
      <c r="F160" s="18">
        <f>IFERROR(SUMIFS(ENTRADAS[CANTIDAD],ENTRADAS[Columna1],INVENTARIO[[#This Row],[DESCRIPCION]],ENTRADAS[LOTE],INVENTARIO[[#This Row],[CATALOGO]]),"-")</f>
        <v>0</v>
      </c>
      <c r="G160" s="18">
        <f>IFERROR(SUMIFS(SALIDAS[CANTIDAD],SALIDAS[DESCRIPCION],INVENTARIO[[#This Row],[DESCRIPCION]],SALIDAS[LOTE],INVENTARIO[[#This Row],[CATALOGO]]),"-")</f>
        <v>0</v>
      </c>
      <c r="H160" s="18"/>
      <c r="I160" s="18"/>
      <c r="J160" s="18">
        <f>INVENTARIO[[#This Row],[ENTRADAS]]-INVENTARIO[[#This Row],[SALIDAS]]</f>
        <v>0</v>
      </c>
      <c r="K160" s="16"/>
      <c r="L160" s="19"/>
    </row>
    <row r="161" spans="1:12" x14ac:dyDescent="0.25">
      <c r="A161" s="28">
        <v>159</v>
      </c>
      <c r="B161" s="15"/>
      <c r="C161" s="13"/>
      <c r="D161" s="12" t="s">
        <v>98</v>
      </c>
      <c r="E161" s="21"/>
      <c r="F161" s="18">
        <f>IFERROR(SUMIFS(ENTRADAS[CANTIDAD],ENTRADAS[Columna1],INVENTARIO[[#This Row],[DESCRIPCION]],ENTRADAS[LOTE],INVENTARIO[[#This Row],[CATALOGO]]),"-")</f>
        <v>0</v>
      </c>
      <c r="G161" s="18">
        <f>IFERROR(SUMIFS(SALIDAS[CANTIDAD],SALIDAS[DESCRIPCION],INVENTARIO[[#This Row],[DESCRIPCION]],SALIDAS[LOTE],INVENTARIO[[#This Row],[CATALOGO]]),"-")</f>
        <v>0</v>
      </c>
      <c r="H161" s="18"/>
      <c r="I161" s="18"/>
      <c r="J161" s="18">
        <f>INVENTARIO[[#This Row],[ENTRADAS]]-INVENTARIO[[#This Row],[SALIDAS]]</f>
        <v>0</v>
      </c>
      <c r="K161" s="16"/>
      <c r="L161" s="19"/>
    </row>
    <row r="162" spans="1:12" x14ac:dyDescent="0.25">
      <c r="A162" s="28">
        <v>160</v>
      </c>
      <c r="B162" s="15"/>
      <c r="C162" s="15"/>
      <c r="D162" s="15" t="s">
        <v>191</v>
      </c>
      <c r="E162" s="21"/>
      <c r="F162" s="17">
        <f>IFERROR(SUMIFS(ENTRADAS[CANTIDAD],ENTRADAS[Columna1],INVENTARIO[[#This Row],[DESCRIPCION]],ENTRADAS[LOTE],INVENTARIO[[#This Row],[CATALOGO]]),"-")</f>
        <v>0</v>
      </c>
      <c r="G162" s="17">
        <f>IFERROR(SUMIFS(SALIDAS[CANTIDAD],SALIDAS[DESCRIPCION],INVENTARIO[[#This Row],[DESCRIPCION]],SALIDAS[LOTE],INVENTARIO[[#This Row],[CATALOGO]]),"-")</f>
        <v>0</v>
      </c>
      <c r="H162" s="18"/>
      <c r="I162" s="18"/>
      <c r="J162" s="17">
        <f>INVENTARIO[[#This Row],[ENTRADAS]]-INVENTARIO[[#This Row],[SALIDAS]]</f>
        <v>0</v>
      </c>
      <c r="K162" s="16"/>
      <c r="L162" s="19"/>
    </row>
    <row r="163" spans="1:12" x14ac:dyDescent="0.25">
      <c r="A163" s="28">
        <v>161</v>
      </c>
      <c r="B163" s="15"/>
      <c r="C163" s="13"/>
      <c r="D163" s="12" t="s">
        <v>38</v>
      </c>
      <c r="E163" s="21"/>
      <c r="F163" s="18">
        <f>IFERROR(SUMIFS(ENTRADAS[CANTIDAD],ENTRADAS[Columna1],INVENTARIO[[#This Row],[DESCRIPCION]],ENTRADAS[LOTE],INVENTARIO[[#This Row],[CATALOGO]]),"-")</f>
        <v>0</v>
      </c>
      <c r="G163" s="18">
        <f>IFERROR(SUMIFS(SALIDAS[CANTIDAD],SALIDAS[DESCRIPCION],INVENTARIO[[#This Row],[DESCRIPCION]],SALIDAS[LOTE],INVENTARIO[[#This Row],[CATALOGO]]),"-")</f>
        <v>0</v>
      </c>
      <c r="H163" s="18"/>
      <c r="I163" s="18"/>
      <c r="J163" s="18">
        <f>INVENTARIO[[#This Row],[ENTRADAS]]-INVENTARIO[[#This Row],[SALIDAS]]</f>
        <v>0</v>
      </c>
      <c r="K163" s="16"/>
      <c r="L163" s="19"/>
    </row>
    <row r="164" spans="1:12" x14ac:dyDescent="0.25">
      <c r="A164" s="28">
        <v>162</v>
      </c>
      <c r="B164" s="15"/>
      <c r="C164" s="15"/>
      <c r="D164" s="15" t="s">
        <v>49</v>
      </c>
      <c r="E164" s="21"/>
      <c r="F164" s="18">
        <f>IFERROR(SUMIFS(ENTRADAS[CANTIDAD],ENTRADAS[Columna1],INVENTARIO[[#This Row],[DESCRIPCION]],ENTRADAS[LOTE],INVENTARIO[[#This Row],[CATALOGO]]),"-")</f>
        <v>0</v>
      </c>
      <c r="G164" s="18">
        <f>IFERROR(SUMIFS(SALIDAS[CANTIDAD],SALIDAS[DESCRIPCION],INVENTARIO[[#This Row],[DESCRIPCION]],SALIDAS[LOTE],INVENTARIO[[#This Row],[CATALOGO]]),"-")</f>
        <v>0</v>
      </c>
      <c r="H164" s="18"/>
      <c r="I164" s="18"/>
      <c r="J164" s="18">
        <f>INVENTARIO[[#This Row],[ENTRADAS]]-INVENTARIO[[#This Row],[SALIDAS]]</f>
        <v>0</v>
      </c>
      <c r="K164" s="16"/>
      <c r="L164" s="19"/>
    </row>
    <row r="165" spans="1:12" x14ac:dyDescent="0.25">
      <c r="A165" s="28">
        <v>163</v>
      </c>
      <c r="B165" s="15"/>
      <c r="C165" s="13"/>
      <c r="D165" s="12" t="s">
        <v>54</v>
      </c>
      <c r="E165" s="21"/>
      <c r="F165" s="18">
        <f>IFERROR(SUMIFS(ENTRADAS[CANTIDAD],ENTRADAS[Columna1],INVENTARIO[[#This Row],[DESCRIPCION]],ENTRADAS[LOTE],INVENTARIO[[#This Row],[CATALOGO]]),"-")</f>
        <v>0</v>
      </c>
      <c r="G165" s="18">
        <f>IFERROR(SUMIFS(SALIDAS[CANTIDAD],SALIDAS[DESCRIPCION],INVENTARIO[[#This Row],[DESCRIPCION]],SALIDAS[LOTE],INVENTARIO[[#This Row],[CATALOGO]]),"-")</f>
        <v>0</v>
      </c>
      <c r="H165" s="18"/>
      <c r="I165" s="18"/>
      <c r="J165" s="18">
        <f>INVENTARIO[[#This Row],[ENTRADAS]]-INVENTARIO[[#This Row],[SALIDAS]]</f>
        <v>0</v>
      </c>
      <c r="K165" s="16"/>
      <c r="L165" s="19"/>
    </row>
    <row r="166" spans="1:12" x14ac:dyDescent="0.25">
      <c r="A166" s="28">
        <v>164</v>
      </c>
      <c r="B166" s="15"/>
      <c r="C166" s="15"/>
      <c r="D166" s="15" t="s">
        <v>172</v>
      </c>
      <c r="E166" s="21"/>
      <c r="F166" s="17">
        <f>IFERROR(SUMIFS(ENTRADAS[CANTIDAD],ENTRADAS[Columna1],INVENTARIO[[#This Row],[DESCRIPCION]],ENTRADAS[LOTE],INVENTARIO[[#This Row],[CATALOGO]]),"-")</f>
        <v>0</v>
      </c>
      <c r="G166" s="17">
        <f>IFERROR(SUMIFS(SALIDAS[CANTIDAD],SALIDAS[DESCRIPCION],INVENTARIO[[#This Row],[DESCRIPCION]],SALIDAS[LOTE],INVENTARIO[[#This Row],[CATALOGO]]),"-")</f>
        <v>0</v>
      </c>
      <c r="H166" s="18"/>
      <c r="I166" s="18"/>
      <c r="J166" s="17">
        <f>INVENTARIO[[#This Row],[ENTRADAS]]-INVENTARIO[[#This Row],[SALIDAS]]</f>
        <v>0</v>
      </c>
      <c r="K166" s="16"/>
      <c r="L166" s="19"/>
    </row>
    <row r="167" spans="1:12" x14ac:dyDescent="0.25">
      <c r="A167" s="28">
        <v>165</v>
      </c>
      <c r="B167" s="15"/>
      <c r="C167" s="13"/>
      <c r="D167" s="12" t="s">
        <v>74</v>
      </c>
      <c r="E167" s="21"/>
      <c r="F167" s="18">
        <f>IFERROR(SUMIFS(ENTRADAS[CANTIDAD],ENTRADAS[Columna1],INVENTARIO[[#This Row],[DESCRIPCION]],ENTRADAS[LOTE],INVENTARIO[[#This Row],[CATALOGO]]),"-")</f>
        <v>0</v>
      </c>
      <c r="G167" s="18">
        <f>IFERROR(SUMIFS(SALIDAS[CANTIDAD],SALIDAS[DESCRIPCION],INVENTARIO[[#This Row],[DESCRIPCION]],SALIDAS[LOTE],INVENTARIO[[#This Row],[CATALOGO]]),"-")</f>
        <v>0</v>
      </c>
      <c r="H167" s="18"/>
      <c r="I167" s="18"/>
      <c r="J167" s="18">
        <f>INVENTARIO[[#This Row],[ENTRADAS]]-INVENTARIO[[#This Row],[SALIDAS]]</f>
        <v>0</v>
      </c>
      <c r="K167" s="16"/>
      <c r="L167" s="19"/>
    </row>
    <row r="168" spans="1:12" x14ac:dyDescent="0.25">
      <c r="A168" s="28">
        <v>166</v>
      </c>
      <c r="B168" s="15"/>
      <c r="C168" s="15"/>
      <c r="D168" s="15" t="s">
        <v>32</v>
      </c>
      <c r="E168" s="21"/>
      <c r="F168" s="18">
        <f>IFERROR(SUMIFS(ENTRADAS[CANTIDAD],ENTRADAS[Columna1],INVENTARIO[[#This Row],[DESCRIPCION]],ENTRADAS[LOTE],INVENTARIO[[#This Row],[CATALOGO]]),"-")</f>
        <v>0</v>
      </c>
      <c r="G168" s="18">
        <f>IFERROR(SUMIFS(SALIDAS[CANTIDAD],SALIDAS[DESCRIPCION],INVENTARIO[[#This Row],[DESCRIPCION]],SALIDAS[LOTE],INVENTARIO[[#This Row],[CATALOGO]]),"-")</f>
        <v>0</v>
      </c>
      <c r="H168" s="18"/>
      <c r="I168" s="18"/>
      <c r="J168" s="18">
        <f>INVENTARIO[[#This Row],[ENTRADAS]]-INVENTARIO[[#This Row],[SALIDAS]]</f>
        <v>0</v>
      </c>
      <c r="K168" s="16"/>
      <c r="L168" s="19"/>
    </row>
    <row r="169" spans="1:12" x14ac:dyDescent="0.25">
      <c r="A169" s="28">
        <v>167</v>
      </c>
      <c r="B169" s="15"/>
      <c r="C169" s="13"/>
      <c r="D169" s="12" t="s">
        <v>31</v>
      </c>
      <c r="E169" s="21"/>
      <c r="F169" s="18">
        <f>IFERROR(SUMIFS(ENTRADAS[CANTIDAD],ENTRADAS[Columna1],INVENTARIO[[#This Row],[DESCRIPCION]],ENTRADAS[LOTE],INVENTARIO[[#This Row],[CATALOGO]]),"-")</f>
        <v>0</v>
      </c>
      <c r="G169" s="18">
        <f>IFERROR(SUMIFS(SALIDAS[CANTIDAD],SALIDAS[DESCRIPCION],INVENTARIO[[#This Row],[DESCRIPCION]],SALIDAS[LOTE],INVENTARIO[[#This Row],[CATALOGO]]),"-")</f>
        <v>0</v>
      </c>
      <c r="H169" s="18"/>
      <c r="I169" s="18"/>
      <c r="J169" s="18">
        <f>INVENTARIO[[#This Row],[ENTRADAS]]-INVENTARIO[[#This Row],[SALIDAS]]</f>
        <v>0</v>
      </c>
      <c r="K169" s="16"/>
      <c r="L169" s="19"/>
    </row>
    <row r="170" spans="1:12" x14ac:dyDescent="0.25">
      <c r="A170" s="28">
        <v>168</v>
      </c>
      <c r="B170" s="15"/>
      <c r="C170" s="15"/>
      <c r="D170" s="15" t="s">
        <v>24</v>
      </c>
      <c r="E170" s="21"/>
      <c r="F170" s="18">
        <f>IFERROR(SUMIFS(ENTRADAS[CANTIDAD],ENTRADAS[Columna1],INVENTARIO[[#This Row],[DESCRIPCION]],ENTRADAS[LOTE],INVENTARIO[[#This Row],[CATALOGO]]),"-")</f>
        <v>0</v>
      </c>
      <c r="G170" s="18">
        <f>IFERROR(SUMIFS(SALIDAS[CANTIDAD],SALIDAS[DESCRIPCION],INVENTARIO[[#This Row],[DESCRIPCION]],SALIDAS[LOTE],INVENTARIO[[#This Row],[CATALOGO]]),"-")</f>
        <v>0</v>
      </c>
      <c r="H170" s="18"/>
      <c r="I170" s="18"/>
      <c r="J170" s="18">
        <f>INVENTARIO[[#This Row],[ENTRADAS]]-INVENTARIO[[#This Row],[SALIDAS]]</f>
        <v>0</v>
      </c>
      <c r="K170" s="16"/>
      <c r="L170" s="19"/>
    </row>
    <row r="171" spans="1:12" x14ac:dyDescent="0.25">
      <c r="A171" s="28">
        <v>169</v>
      </c>
      <c r="B171" s="15"/>
      <c r="C171" s="13"/>
      <c r="D171" s="12" t="s">
        <v>159</v>
      </c>
      <c r="E171" s="21"/>
      <c r="F171" s="17">
        <f>IFERROR(SUMIFS(ENTRADAS[CANTIDAD],ENTRADAS[Columna1],INVENTARIO[[#This Row],[DESCRIPCION]],ENTRADAS[LOTE],INVENTARIO[[#This Row],[CATALOGO]]),"-")</f>
        <v>0</v>
      </c>
      <c r="G171" s="17">
        <f>IFERROR(SUMIFS(SALIDAS[CANTIDAD],SALIDAS[DESCRIPCION],INVENTARIO[[#This Row],[DESCRIPCION]],SALIDAS[LOTE],INVENTARIO[[#This Row],[CATALOGO]]),"-")</f>
        <v>0</v>
      </c>
      <c r="H171" s="18"/>
      <c r="I171" s="18"/>
      <c r="J171" s="17">
        <f>INVENTARIO[[#This Row],[ENTRADAS]]-INVENTARIO[[#This Row],[SALIDAS]]</f>
        <v>0</v>
      </c>
      <c r="K171" s="16"/>
      <c r="L171" s="19"/>
    </row>
    <row r="172" spans="1:12" x14ac:dyDescent="0.25">
      <c r="A172" s="28">
        <v>170</v>
      </c>
      <c r="B172" s="15"/>
      <c r="C172" s="15"/>
      <c r="D172" s="15" t="s">
        <v>232</v>
      </c>
      <c r="E172" s="21"/>
      <c r="F172" s="17">
        <f>IFERROR(SUMIFS(ENTRADAS[CANTIDAD],ENTRADAS[Columna1],INVENTARIO[[#This Row],[DESCRIPCION]],ENTRADAS[LOTE],INVENTARIO[[#This Row],[CATALOGO]]),"-")</f>
        <v>0</v>
      </c>
      <c r="G172" s="17">
        <f>IFERROR(SUMIFS(SALIDAS[CANTIDAD],SALIDAS[DESCRIPCION],INVENTARIO[[#This Row],[DESCRIPCION]],SALIDAS[LOTE],INVENTARIO[[#This Row],[CATALOGO]]),"-")</f>
        <v>0</v>
      </c>
      <c r="H172" s="18"/>
      <c r="I172" s="18"/>
      <c r="J172" s="17">
        <f>INVENTARIO[[#This Row],[ENTRADAS]]-INVENTARIO[[#This Row],[SALIDAS]]</f>
        <v>0</v>
      </c>
      <c r="K172" s="16"/>
      <c r="L172" s="19"/>
    </row>
    <row r="173" spans="1:12" x14ac:dyDescent="0.25">
      <c r="A173" s="28">
        <v>171</v>
      </c>
      <c r="B173" s="15"/>
      <c r="C173" s="13"/>
      <c r="D173" s="12" t="s">
        <v>97</v>
      </c>
      <c r="E173" s="21"/>
      <c r="F173" s="18">
        <f>IFERROR(SUMIFS(ENTRADAS[CANTIDAD],ENTRADAS[Columna1],INVENTARIO[[#This Row],[DESCRIPCION]],ENTRADAS[LOTE],INVENTARIO[[#This Row],[CATALOGO]]),"-")</f>
        <v>0</v>
      </c>
      <c r="G173" s="18">
        <f>IFERROR(SUMIFS(SALIDAS[CANTIDAD],SALIDAS[DESCRIPCION],INVENTARIO[[#This Row],[DESCRIPCION]],SALIDAS[LOTE],INVENTARIO[[#This Row],[CATALOGO]]),"-")</f>
        <v>0</v>
      </c>
      <c r="H173" s="18"/>
      <c r="I173" s="18"/>
      <c r="J173" s="18">
        <f>INVENTARIO[[#This Row],[ENTRADAS]]-INVENTARIO[[#This Row],[SALIDAS]]</f>
        <v>0</v>
      </c>
      <c r="K173" s="16"/>
      <c r="L173" s="19"/>
    </row>
    <row r="174" spans="1:12" x14ac:dyDescent="0.25">
      <c r="A174" s="28">
        <v>172</v>
      </c>
      <c r="B174" s="15"/>
      <c r="C174" s="15"/>
      <c r="D174" s="15" t="s">
        <v>44</v>
      </c>
      <c r="E174" s="21"/>
      <c r="F174" s="18">
        <f>IFERROR(SUMIFS(ENTRADAS[CANTIDAD],ENTRADAS[Columna1],INVENTARIO[[#This Row],[DESCRIPCION]],ENTRADAS[LOTE],INVENTARIO[[#This Row],[CATALOGO]]),"-")</f>
        <v>0</v>
      </c>
      <c r="G174" s="18">
        <f>IFERROR(SUMIFS(SALIDAS[CANTIDAD],SALIDAS[DESCRIPCION],INVENTARIO[[#This Row],[DESCRIPCION]],SALIDAS[LOTE],INVENTARIO[[#This Row],[CATALOGO]]),"-")</f>
        <v>0</v>
      </c>
      <c r="H174" s="18"/>
      <c r="I174" s="18"/>
      <c r="J174" s="18">
        <f>INVENTARIO[[#This Row],[ENTRADAS]]-INVENTARIO[[#This Row],[SALIDAS]]</f>
        <v>0</v>
      </c>
      <c r="K174" s="16"/>
      <c r="L174" s="19"/>
    </row>
    <row r="175" spans="1:12" x14ac:dyDescent="0.25">
      <c r="A175" s="28">
        <v>173</v>
      </c>
      <c r="B175" s="15"/>
      <c r="C175" s="13"/>
      <c r="D175" s="12" t="s">
        <v>209</v>
      </c>
      <c r="E175" s="21"/>
      <c r="F175" s="17">
        <f>IFERROR(SUMIFS(ENTRADAS[CANTIDAD],ENTRADAS[Columna1],INVENTARIO[[#This Row],[DESCRIPCION]],ENTRADAS[LOTE],INVENTARIO[[#This Row],[CATALOGO]]),"-")</f>
        <v>0</v>
      </c>
      <c r="G175" s="17">
        <f>IFERROR(SUMIFS(SALIDAS[CANTIDAD],SALIDAS[DESCRIPCION],INVENTARIO[[#This Row],[DESCRIPCION]],SALIDAS[LOTE],INVENTARIO[[#This Row],[CATALOGO]]),"-")</f>
        <v>0</v>
      </c>
      <c r="H175" s="18"/>
      <c r="I175" s="18"/>
      <c r="J175" s="17">
        <f>INVENTARIO[[#This Row],[ENTRADAS]]-INVENTARIO[[#This Row],[SALIDAS]]</f>
        <v>0</v>
      </c>
      <c r="K175" s="16"/>
      <c r="L175" s="19"/>
    </row>
    <row r="176" spans="1:12" x14ac:dyDescent="0.25">
      <c r="A176" s="28">
        <v>174</v>
      </c>
      <c r="B176" s="15"/>
      <c r="C176" s="15"/>
      <c r="D176" s="15" t="s">
        <v>15</v>
      </c>
      <c r="E176" s="21"/>
      <c r="F176" s="18">
        <f>IFERROR(SUMIFS(ENTRADAS[CANTIDAD],ENTRADAS[Columna1],INVENTARIO[[#This Row],[DESCRIPCION]],ENTRADAS[LOTE],INVENTARIO[[#This Row],[CATALOGO]]),"-")</f>
        <v>0</v>
      </c>
      <c r="G176" s="18">
        <f>IFERROR(SUMIFS(SALIDAS[CANTIDAD],SALIDAS[DESCRIPCION],INVENTARIO[[#This Row],[DESCRIPCION]],SALIDAS[LOTE],INVENTARIO[[#This Row],[CATALOGO]]),"-")</f>
        <v>0</v>
      </c>
      <c r="H176" s="18"/>
      <c r="I176" s="18"/>
      <c r="J176" s="18">
        <f>INVENTARIO[[#This Row],[ENTRADAS]]-INVENTARIO[[#This Row],[SALIDAS]]</f>
        <v>0</v>
      </c>
      <c r="K176" s="16"/>
      <c r="L176" s="19"/>
    </row>
    <row r="177" spans="1:12" x14ac:dyDescent="0.25">
      <c r="A177" s="28">
        <v>175</v>
      </c>
      <c r="B177" s="15"/>
      <c r="C177" s="13"/>
      <c r="D177" s="12" t="s">
        <v>48</v>
      </c>
      <c r="E177" s="21"/>
      <c r="F177" s="18">
        <f>IFERROR(SUMIFS(ENTRADAS[CANTIDAD],ENTRADAS[Columna1],INVENTARIO[[#This Row],[DESCRIPCION]],ENTRADAS[LOTE],INVENTARIO[[#This Row],[CATALOGO]]),"-")</f>
        <v>0</v>
      </c>
      <c r="G177" s="18">
        <f>IFERROR(SUMIFS(SALIDAS[CANTIDAD],SALIDAS[DESCRIPCION],INVENTARIO[[#This Row],[DESCRIPCION]],SALIDAS[LOTE],INVENTARIO[[#This Row],[CATALOGO]]),"-")</f>
        <v>0</v>
      </c>
      <c r="H177" s="18"/>
      <c r="I177" s="18"/>
      <c r="J177" s="18">
        <f>INVENTARIO[[#This Row],[ENTRADAS]]-INVENTARIO[[#This Row],[SALIDAS]]</f>
        <v>0</v>
      </c>
      <c r="K177" s="16"/>
      <c r="L177" s="19"/>
    </row>
    <row r="178" spans="1:12" x14ac:dyDescent="0.25">
      <c r="A178" s="28">
        <v>176</v>
      </c>
      <c r="B178" s="15"/>
      <c r="C178" s="15"/>
      <c r="D178" s="15" t="s">
        <v>26</v>
      </c>
      <c r="E178" s="21"/>
      <c r="F178" s="18">
        <f>IFERROR(SUMIFS(ENTRADAS[CANTIDAD],ENTRADAS[Columna1],INVENTARIO[[#This Row],[DESCRIPCION]],ENTRADAS[LOTE],INVENTARIO[[#This Row],[CATALOGO]]),"-")</f>
        <v>0</v>
      </c>
      <c r="G178" s="18">
        <f>IFERROR(SUMIFS(SALIDAS[CANTIDAD],SALIDAS[DESCRIPCION],INVENTARIO[[#This Row],[DESCRIPCION]],SALIDAS[LOTE],INVENTARIO[[#This Row],[CATALOGO]]),"-")</f>
        <v>0</v>
      </c>
      <c r="H178" s="18"/>
      <c r="I178" s="18"/>
      <c r="J178" s="18">
        <f>INVENTARIO[[#This Row],[ENTRADAS]]-INVENTARIO[[#This Row],[SALIDAS]]</f>
        <v>0</v>
      </c>
      <c r="K178" s="16"/>
      <c r="L178" s="19"/>
    </row>
    <row r="179" spans="1:12" x14ac:dyDescent="0.25">
      <c r="A179" s="28">
        <v>177</v>
      </c>
      <c r="B179" s="15"/>
      <c r="C179" s="13"/>
      <c r="D179" s="12" t="s">
        <v>47</v>
      </c>
      <c r="E179" s="21"/>
      <c r="F179" s="18">
        <f>IFERROR(SUMIFS(ENTRADAS[CANTIDAD],ENTRADAS[Columna1],INVENTARIO[[#This Row],[DESCRIPCION]],ENTRADAS[LOTE],INVENTARIO[[#This Row],[CATALOGO]]),"-")</f>
        <v>0</v>
      </c>
      <c r="G179" s="18">
        <f>IFERROR(SUMIFS(SALIDAS[CANTIDAD],SALIDAS[DESCRIPCION],INVENTARIO[[#This Row],[DESCRIPCION]],SALIDAS[LOTE],INVENTARIO[[#This Row],[CATALOGO]]),"-")</f>
        <v>0</v>
      </c>
      <c r="H179" s="18"/>
      <c r="I179" s="18"/>
      <c r="J179" s="18">
        <f>INVENTARIO[[#This Row],[ENTRADAS]]-INVENTARIO[[#This Row],[SALIDAS]]</f>
        <v>0</v>
      </c>
      <c r="K179" s="16"/>
      <c r="L179" s="19"/>
    </row>
    <row r="180" spans="1:12" x14ac:dyDescent="0.25">
      <c r="A180" s="28">
        <v>178</v>
      </c>
      <c r="B180" s="15"/>
      <c r="C180" s="15"/>
      <c r="D180" s="15" t="s">
        <v>102</v>
      </c>
      <c r="E180" s="21"/>
      <c r="F180" s="18">
        <f>IFERROR(SUMIFS(ENTRADAS[CANTIDAD],ENTRADAS[Columna1],INVENTARIO[[#This Row],[DESCRIPCION]],ENTRADAS[LOTE],INVENTARIO[[#This Row],[CATALOGO]]),"-")</f>
        <v>0</v>
      </c>
      <c r="G180" s="18">
        <f>IFERROR(SUMIFS(SALIDAS[CANTIDAD],SALIDAS[DESCRIPCION],INVENTARIO[[#This Row],[DESCRIPCION]],SALIDAS[LOTE],INVENTARIO[[#This Row],[CATALOGO]]),"-")</f>
        <v>0</v>
      </c>
      <c r="H180" s="18"/>
      <c r="I180" s="18"/>
      <c r="J180" s="18">
        <f>INVENTARIO[[#This Row],[ENTRADAS]]-INVENTARIO[[#This Row],[SALIDAS]]</f>
        <v>0</v>
      </c>
      <c r="K180" s="16"/>
      <c r="L180" s="19"/>
    </row>
    <row r="181" spans="1:12" x14ac:dyDescent="0.25">
      <c r="A181" s="28">
        <v>179</v>
      </c>
      <c r="B181" s="15"/>
      <c r="C181" s="13"/>
      <c r="D181" s="12" t="s">
        <v>176</v>
      </c>
      <c r="E181" s="21"/>
      <c r="F181" s="17">
        <f>IFERROR(SUMIFS(ENTRADAS[CANTIDAD],ENTRADAS[Columna1],INVENTARIO[[#This Row],[DESCRIPCION]],ENTRADAS[LOTE],INVENTARIO[[#This Row],[CATALOGO]]),"-")</f>
        <v>0</v>
      </c>
      <c r="G181" s="17">
        <f>IFERROR(SUMIFS(SALIDAS[CANTIDAD],SALIDAS[DESCRIPCION],INVENTARIO[[#This Row],[DESCRIPCION]],SALIDAS[LOTE],INVENTARIO[[#This Row],[CATALOGO]]),"-")</f>
        <v>0</v>
      </c>
      <c r="H181" s="18"/>
      <c r="I181" s="18"/>
      <c r="J181" s="17">
        <f>INVENTARIO[[#This Row],[ENTRADAS]]-INVENTARIO[[#This Row],[SALIDAS]]</f>
        <v>0</v>
      </c>
      <c r="K181" s="16"/>
      <c r="L181" s="19"/>
    </row>
    <row r="182" spans="1:12" x14ac:dyDescent="0.25">
      <c r="A182" s="28">
        <v>180</v>
      </c>
      <c r="B182" s="15"/>
      <c r="C182" s="15"/>
      <c r="D182" s="15" t="s">
        <v>70</v>
      </c>
      <c r="E182" s="21"/>
      <c r="F182" s="18">
        <f>IFERROR(SUMIFS(ENTRADAS[CANTIDAD],ENTRADAS[Columna1],INVENTARIO[[#This Row],[DESCRIPCION]],ENTRADAS[LOTE],INVENTARIO[[#This Row],[CATALOGO]]),"-")</f>
        <v>0</v>
      </c>
      <c r="G182" s="18">
        <f>IFERROR(SUMIFS(SALIDAS[CANTIDAD],SALIDAS[DESCRIPCION],INVENTARIO[[#This Row],[DESCRIPCION]],SALIDAS[LOTE],INVENTARIO[[#This Row],[CATALOGO]]),"-")</f>
        <v>0</v>
      </c>
      <c r="H182" s="18"/>
      <c r="I182" s="18"/>
      <c r="J182" s="18">
        <f>INVENTARIO[[#This Row],[ENTRADAS]]-INVENTARIO[[#This Row],[SALIDAS]]</f>
        <v>0</v>
      </c>
      <c r="K182" s="16"/>
      <c r="L182" s="19"/>
    </row>
    <row r="183" spans="1:12" x14ac:dyDescent="0.25">
      <c r="A183" s="28">
        <v>181</v>
      </c>
      <c r="B183" s="15"/>
      <c r="C183" s="13"/>
      <c r="D183" s="12" t="s">
        <v>100</v>
      </c>
      <c r="E183" s="21"/>
      <c r="F183" s="18">
        <f>IFERROR(SUMIFS(ENTRADAS[CANTIDAD],ENTRADAS[Columna1],INVENTARIO[[#This Row],[DESCRIPCION]],ENTRADAS[LOTE],INVENTARIO[[#This Row],[CATALOGO]]),"-")</f>
        <v>0</v>
      </c>
      <c r="G183" s="18">
        <f>IFERROR(SUMIFS(SALIDAS[CANTIDAD],SALIDAS[DESCRIPCION],INVENTARIO[[#This Row],[DESCRIPCION]],SALIDAS[LOTE],INVENTARIO[[#This Row],[CATALOGO]]),"-")</f>
        <v>0</v>
      </c>
      <c r="H183" s="18"/>
      <c r="I183" s="18"/>
      <c r="J183" s="18">
        <f>INVENTARIO[[#This Row],[ENTRADAS]]-INVENTARIO[[#This Row],[SALIDAS]]</f>
        <v>0</v>
      </c>
      <c r="K183" s="16"/>
      <c r="L183" s="19"/>
    </row>
    <row r="184" spans="1:12" x14ac:dyDescent="0.25">
      <c r="A184" s="28">
        <v>182</v>
      </c>
      <c r="B184" s="15"/>
      <c r="C184" s="15"/>
      <c r="D184" s="15" t="s">
        <v>138</v>
      </c>
      <c r="E184" s="21"/>
      <c r="F184" s="17">
        <f>IFERROR(SUMIFS(ENTRADAS[CANTIDAD],ENTRADAS[Columna1],INVENTARIO[[#This Row],[DESCRIPCION]],ENTRADAS[LOTE],INVENTARIO[[#This Row],[CATALOGO]]),"-")</f>
        <v>0</v>
      </c>
      <c r="G184" s="17">
        <f>IFERROR(SUMIFS(SALIDAS[CANTIDAD],SALIDAS[DESCRIPCION],INVENTARIO[[#This Row],[DESCRIPCION]],SALIDAS[LOTE],INVENTARIO[[#This Row],[CATALOGO]]),"-")</f>
        <v>0</v>
      </c>
      <c r="H184" s="18"/>
      <c r="I184" s="18"/>
      <c r="J184" s="17">
        <f>INVENTARIO[[#This Row],[ENTRADAS]]-INVENTARIO[[#This Row],[SALIDAS]]</f>
        <v>0</v>
      </c>
      <c r="K184" s="16"/>
      <c r="L184" s="19"/>
    </row>
    <row r="185" spans="1:12" x14ac:dyDescent="0.25">
      <c r="A185" s="28">
        <v>183</v>
      </c>
      <c r="B185" s="15"/>
      <c r="C185" s="13"/>
      <c r="D185" s="12" t="s">
        <v>52</v>
      </c>
      <c r="E185" s="21"/>
      <c r="F185" s="18">
        <f>IFERROR(SUMIFS(ENTRADAS[CANTIDAD],ENTRADAS[Columna1],INVENTARIO[[#This Row],[DESCRIPCION]],ENTRADAS[LOTE],INVENTARIO[[#This Row],[CATALOGO]]),"-")</f>
        <v>0</v>
      </c>
      <c r="G185" s="18">
        <f>IFERROR(SUMIFS(SALIDAS[CANTIDAD],SALIDAS[DESCRIPCION],INVENTARIO[[#This Row],[DESCRIPCION]],SALIDAS[LOTE],INVENTARIO[[#This Row],[CATALOGO]]),"-")</f>
        <v>0</v>
      </c>
      <c r="H185" s="18"/>
      <c r="I185" s="18"/>
      <c r="J185" s="18">
        <f>INVENTARIO[[#This Row],[ENTRADAS]]-INVENTARIO[[#This Row],[SALIDAS]]</f>
        <v>0</v>
      </c>
      <c r="K185" s="16"/>
      <c r="L185" s="19"/>
    </row>
    <row r="186" spans="1:12" x14ac:dyDescent="0.25">
      <c r="A186" s="28">
        <v>184</v>
      </c>
      <c r="B186" s="15"/>
      <c r="C186" s="15"/>
      <c r="D186" s="15" t="s">
        <v>137</v>
      </c>
      <c r="E186" s="21"/>
      <c r="F186" s="17">
        <f>IFERROR(SUMIFS(ENTRADAS[CANTIDAD],ENTRADAS[Columna1],INVENTARIO[[#This Row],[DESCRIPCION]],ENTRADAS[LOTE],INVENTARIO[[#This Row],[CATALOGO]]),"-")</f>
        <v>0</v>
      </c>
      <c r="G186" s="17">
        <f>IFERROR(SUMIFS(SALIDAS[CANTIDAD],SALIDAS[DESCRIPCION],INVENTARIO[[#This Row],[DESCRIPCION]],SALIDAS[LOTE],INVENTARIO[[#This Row],[CATALOGO]]),"-")</f>
        <v>0</v>
      </c>
      <c r="H186" s="18"/>
      <c r="I186" s="18"/>
      <c r="J186" s="17">
        <f>INVENTARIO[[#This Row],[ENTRADAS]]-INVENTARIO[[#This Row],[SALIDAS]]</f>
        <v>0</v>
      </c>
      <c r="K186" s="16"/>
      <c r="L186" s="19"/>
    </row>
    <row r="187" spans="1:12" x14ac:dyDescent="0.25">
      <c r="A187" s="28">
        <v>185</v>
      </c>
      <c r="B187" s="15"/>
      <c r="C187" s="13"/>
      <c r="D187" s="12" t="s">
        <v>225</v>
      </c>
      <c r="E187" s="21"/>
      <c r="F187" s="18">
        <f>IFERROR(SUMIFS(ENTRADAS[CANTIDAD],ENTRADAS[Columna1],INVENTARIO[[#This Row],[DESCRIPCION]],ENTRADAS[LOTE],INVENTARIO[[#This Row],[CATALOGO]]),"-")</f>
        <v>0</v>
      </c>
      <c r="G187" s="18">
        <f>IFERROR(SUMIFS(SALIDAS[CANTIDAD],SALIDAS[DESCRIPCION],INVENTARIO[[#This Row],[DESCRIPCION]],SALIDAS[LOTE],INVENTARIO[[#This Row],[CATALOGO]]),"-")</f>
        <v>0</v>
      </c>
      <c r="H187" s="18"/>
      <c r="I187" s="18"/>
      <c r="J187" s="18">
        <f>INVENTARIO[[#This Row],[ENTRADAS]]-INVENTARIO[[#This Row],[SALIDAS]]</f>
        <v>0</v>
      </c>
      <c r="K187" s="16"/>
      <c r="L187" s="19"/>
    </row>
    <row r="188" spans="1:12" x14ac:dyDescent="0.25">
      <c r="A188" s="28">
        <v>186</v>
      </c>
      <c r="B188" s="15"/>
      <c r="C188" s="15"/>
      <c r="D188" s="15" t="s">
        <v>224</v>
      </c>
      <c r="E188" s="21"/>
      <c r="F188" s="18">
        <f>IFERROR(SUMIFS(ENTRADAS[CANTIDAD],ENTRADAS[Columna1],INVENTARIO[[#This Row],[DESCRIPCION]],ENTRADAS[LOTE],INVENTARIO[[#This Row],[CATALOGO]]),"-")</f>
        <v>0</v>
      </c>
      <c r="G188" s="18">
        <f>IFERROR(SUMIFS(SALIDAS[CANTIDAD],SALIDAS[DESCRIPCION],INVENTARIO[[#This Row],[DESCRIPCION]],SALIDAS[LOTE],INVENTARIO[[#This Row],[CATALOGO]]),"-")</f>
        <v>0</v>
      </c>
      <c r="H188" s="18"/>
      <c r="I188" s="18"/>
      <c r="J188" s="18">
        <f>INVENTARIO[[#This Row],[ENTRADAS]]-INVENTARIO[[#This Row],[SALIDAS]]</f>
        <v>0</v>
      </c>
      <c r="K188" s="16"/>
      <c r="L188" s="19"/>
    </row>
    <row r="189" spans="1:12" x14ac:dyDescent="0.25">
      <c r="A189" s="28">
        <v>187</v>
      </c>
      <c r="B189" s="15"/>
      <c r="C189" s="13"/>
      <c r="D189" s="12" t="s">
        <v>103</v>
      </c>
      <c r="E189" s="21"/>
      <c r="F189" s="18">
        <f>IFERROR(SUMIFS(ENTRADAS[CANTIDAD],ENTRADAS[Columna1],INVENTARIO[[#This Row],[DESCRIPCION]],ENTRADAS[LOTE],INVENTARIO[[#This Row],[CATALOGO]]),"-")</f>
        <v>0</v>
      </c>
      <c r="G189" s="18">
        <f>IFERROR(SUMIFS(SALIDAS[CANTIDAD],SALIDAS[DESCRIPCION],INVENTARIO[[#This Row],[DESCRIPCION]],SALIDAS[LOTE],INVENTARIO[[#This Row],[CATALOGO]]),"-")</f>
        <v>0</v>
      </c>
      <c r="H189" s="18"/>
      <c r="I189" s="18"/>
      <c r="J189" s="18">
        <f>INVENTARIO[[#This Row],[ENTRADAS]]-INVENTARIO[[#This Row],[SALIDAS]]</f>
        <v>0</v>
      </c>
      <c r="K189" s="16"/>
      <c r="L189" s="19"/>
    </row>
    <row r="190" spans="1:12" x14ac:dyDescent="0.25">
      <c r="A190" s="28">
        <v>188</v>
      </c>
      <c r="B190" s="15"/>
      <c r="C190" s="15"/>
      <c r="D190" s="15" t="s">
        <v>136</v>
      </c>
      <c r="E190" s="21"/>
      <c r="F190" s="17">
        <f>IFERROR(SUMIFS(ENTRADAS[CANTIDAD],ENTRADAS[Columna1],INVENTARIO[[#This Row],[DESCRIPCION]],ENTRADAS[LOTE],INVENTARIO[[#This Row],[CATALOGO]]),"-")</f>
        <v>0</v>
      </c>
      <c r="G190" s="17">
        <f>IFERROR(SUMIFS(SALIDAS[CANTIDAD],SALIDAS[DESCRIPCION],INVENTARIO[[#This Row],[DESCRIPCION]],SALIDAS[LOTE],INVENTARIO[[#This Row],[CATALOGO]]),"-")</f>
        <v>0</v>
      </c>
      <c r="H190" s="18"/>
      <c r="I190" s="18"/>
      <c r="J190" s="17">
        <f>INVENTARIO[[#This Row],[ENTRADAS]]-INVENTARIO[[#This Row],[SALIDAS]]</f>
        <v>0</v>
      </c>
      <c r="K190" s="16"/>
      <c r="L190" s="19"/>
    </row>
    <row r="191" spans="1:12" x14ac:dyDescent="0.25">
      <c r="A191" s="28">
        <v>189</v>
      </c>
      <c r="B191" s="15"/>
      <c r="C191" s="13"/>
      <c r="D191" s="12" t="s">
        <v>46</v>
      </c>
      <c r="E191" s="21"/>
      <c r="F191" s="18">
        <f>IFERROR(SUMIFS(ENTRADAS[CANTIDAD],ENTRADAS[Columna1],INVENTARIO[[#This Row],[DESCRIPCION]],ENTRADAS[LOTE],INVENTARIO[[#This Row],[CATALOGO]]),"-")</f>
        <v>0</v>
      </c>
      <c r="G191" s="18">
        <f>IFERROR(SUMIFS(SALIDAS[CANTIDAD],SALIDAS[DESCRIPCION],INVENTARIO[[#This Row],[DESCRIPCION]],SALIDAS[LOTE],INVENTARIO[[#This Row],[CATALOGO]]),"-")</f>
        <v>0</v>
      </c>
      <c r="H191" s="18"/>
      <c r="I191" s="18"/>
      <c r="J191" s="18">
        <f>INVENTARIO[[#This Row],[ENTRADAS]]-INVENTARIO[[#This Row],[SALIDAS]]</f>
        <v>0</v>
      </c>
      <c r="K191" s="16"/>
      <c r="L191" s="19"/>
    </row>
    <row r="192" spans="1:12" x14ac:dyDescent="0.25">
      <c r="A192" s="28">
        <v>190</v>
      </c>
      <c r="B192" s="15"/>
      <c r="C192" s="15"/>
      <c r="D192" s="15" t="s">
        <v>13</v>
      </c>
      <c r="E192" s="21"/>
      <c r="F192" s="18">
        <f>IFERROR(SUMIFS(ENTRADAS[CANTIDAD],ENTRADAS[Columna1],INVENTARIO[[#This Row],[DESCRIPCION]],ENTRADAS[LOTE],INVENTARIO[[#This Row],[CATALOGO]]),"-")</f>
        <v>0</v>
      </c>
      <c r="G192" s="18">
        <f>IFERROR(SUMIFS(SALIDAS[CANTIDAD],SALIDAS[DESCRIPCION],INVENTARIO[[#This Row],[DESCRIPCION]],SALIDAS[LOTE],INVENTARIO[[#This Row],[CATALOGO]]),"-")</f>
        <v>0</v>
      </c>
      <c r="H192" s="18"/>
      <c r="I192" s="18"/>
      <c r="J192" s="18">
        <f>INVENTARIO[[#This Row],[ENTRADAS]]-INVENTARIO[[#This Row],[SALIDAS]]</f>
        <v>0</v>
      </c>
      <c r="K192" s="16"/>
      <c r="L192" s="19"/>
    </row>
    <row r="193" spans="1:12" x14ac:dyDescent="0.25">
      <c r="A193" s="28">
        <v>191</v>
      </c>
      <c r="B193" s="15"/>
      <c r="C193" s="13"/>
      <c r="D193" s="12" t="s">
        <v>104</v>
      </c>
      <c r="E193" s="21"/>
      <c r="F193" s="18">
        <f>IFERROR(SUMIFS(ENTRADAS[CANTIDAD],ENTRADAS[Columna1],INVENTARIO[[#This Row],[DESCRIPCION]],ENTRADAS[LOTE],INVENTARIO[[#This Row],[CATALOGO]]),"-")</f>
        <v>0</v>
      </c>
      <c r="G193" s="18">
        <f>IFERROR(SUMIFS(SALIDAS[CANTIDAD],SALIDAS[DESCRIPCION],INVENTARIO[[#This Row],[DESCRIPCION]],SALIDAS[LOTE],INVENTARIO[[#This Row],[CATALOGO]]),"-")</f>
        <v>0</v>
      </c>
      <c r="H193" s="18"/>
      <c r="I193" s="18"/>
      <c r="J193" s="18">
        <f>INVENTARIO[[#This Row],[ENTRADAS]]-INVENTARIO[[#This Row],[SALIDAS]]</f>
        <v>0</v>
      </c>
      <c r="K193" s="16"/>
      <c r="L193" s="19"/>
    </row>
    <row r="194" spans="1:12" x14ac:dyDescent="0.25">
      <c r="A194" s="28">
        <v>192</v>
      </c>
      <c r="B194" s="15"/>
      <c r="C194" s="15"/>
      <c r="D194" s="15" t="s">
        <v>211</v>
      </c>
      <c r="E194" s="21"/>
      <c r="F194" s="17">
        <f>IFERROR(SUMIFS(ENTRADAS[CANTIDAD],ENTRADAS[Columna1],INVENTARIO[[#This Row],[DESCRIPCION]],ENTRADAS[LOTE],INVENTARIO[[#This Row],[CATALOGO]]),"-")</f>
        <v>0</v>
      </c>
      <c r="G194" s="17">
        <f>IFERROR(SUMIFS(SALIDAS[CANTIDAD],SALIDAS[DESCRIPCION],INVENTARIO[[#This Row],[DESCRIPCION]],SALIDAS[LOTE],INVENTARIO[[#This Row],[CATALOGO]]),"-")</f>
        <v>0</v>
      </c>
      <c r="H194" s="18"/>
      <c r="I194" s="18"/>
      <c r="J194" s="17">
        <f>INVENTARIO[[#This Row],[ENTRADAS]]-INVENTARIO[[#This Row],[SALIDAS]]</f>
        <v>0</v>
      </c>
      <c r="K194" s="16"/>
      <c r="L194" s="19"/>
    </row>
    <row r="195" spans="1:12" x14ac:dyDescent="0.25">
      <c r="A195" s="28">
        <v>193</v>
      </c>
      <c r="B195" s="15"/>
      <c r="C195" s="13"/>
      <c r="D195" s="12" t="s">
        <v>101</v>
      </c>
      <c r="E195" s="21"/>
      <c r="F195" s="18">
        <f>IFERROR(SUMIFS(ENTRADAS[CANTIDAD],ENTRADAS[Columna1],INVENTARIO[[#This Row],[DESCRIPCION]],ENTRADAS[LOTE],INVENTARIO[[#This Row],[CATALOGO]]),"-")</f>
        <v>0</v>
      </c>
      <c r="G195" s="18">
        <f>IFERROR(SUMIFS(SALIDAS[CANTIDAD],SALIDAS[DESCRIPCION],INVENTARIO[[#This Row],[DESCRIPCION]],SALIDAS[LOTE],INVENTARIO[[#This Row],[CATALOGO]]),"-")</f>
        <v>0</v>
      </c>
      <c r="H195" s="18"/>
      <c r="I195" s="18"/>
      <c r="J195" s="18">
        <f>INVENTARIO[[#This Row],[ENTRADAS]]-INVENTARIO[[#This Row],[SALIDAS]]</f>
        <v>0</v>
      </c>
      <c r="K195" s="16"/>
      <c r="L195" s="19"/>
    </row>
    <row r="196" spans="1:12" x14ac:dyDescent="0.25">
      <c r="A196" s="28">
        <v>194</v>
      </c>
      <c r="B196" s="15"/>
      <c r="C196" s="15"/>
      <c r="D196" s="15" t="s">
        <v>90</v>
      </c>
      <c r="E196" s="21"/>
      <c r="F196" s="18">
        <f>IFERROR(SUMIFS(ENTRADAS[CANTIDAD],ENTRADAS[Columna1],INVENTARIO[[#This Row],[DESCRIPCION]],ENTRADAS[LOTE],INVENTARIO[[#This Row],[CATALOGO]]),"-")</f>
        <v>0</v>
      </c>
      <c r="G196" s="18">
        <f>IFERROR(SUMIFS(SALIDAS[CANTIDAD],SALIDAS[DESCRIPCION],INVENTARIO[[#This Row],[DESCRIPCION]],SALIDAS[LOTE],INVENTARIO[[#This Row],[CATALOGO]]),"-")</f>
        <v>0</v>
      </c>
      <c r="H196" s="18"/>
      <c r="I196" s="18"/>
      <c r="J196" s="18">
        <f>INVENTARIO[[#This Row],[ENTRADAS]]-INVENTARIO[[#This Row],[SALIDAS]]</f>
        <v>0</v>
      </c>
      <c r="K196" s="16"/>
      <c r="L196" s="19"/>
    </row>
    <row r="197" spans="1:12" x14ac:dyDescent="0.25">
      <c r="A197" s="28">
        <v>195</v>
      </c>
      <c r="B197" s="15"/>
      <c r="C197" s="13"/>
      <c r="D197" s="12" t="s">
        <v>105</v>
      </c>
      <c r="E197" s="21"/>
      <c r="F197" s="18">
        <f>IFERROR(SUMIFS(ENTRADAS[CANTIDAD],ENTRADAS[Columna1],INVENTARIO[[#This Row],[DESCRIPCION]],ENTRADAS[LOTE],INVENTARIO[[#This Row],[CATALOGO]]),"-")</f>
        <v>0</v>
      </c>
      <c r="G197" s="18">
        <f>IFERROR(SUMIFS(SALIDAS[CANTIDAD],SALIDAS[DESCRIPCION],INVENTARIO[[#This Row],[DESCRIPCION]],SALIDAS[LOTE],INVENTARIO[[#This Row],[CATALOGO]]),"-")</f>
        <v>0</v>
      </c>
      <c r="H197" s="18"/>
      <c r="I197" s="18"/>
      <c r="J197" s="18">
        <f>INVENTARIO[[#This Row],[ENTRADAS]]-INVENTARIO[[#This Row],[SALIDAS]]</f>
        <v>0</v>
      </c>
      <c r="K197" s="16"/>
      <c r="L197" s="19"/>
    </row>
    <row r="198" spans="1:12" x14ac:dyDescent="0.25">
      <c r="A198" s="28">
        <v>196</v>
      </c>
      <c r="B198" s="15"/>
      <c r="C198" s="15"/>
      <c r="D198" s="15" t="s">
        <v>99</v>
      </c>
      <c r="E198" s="21"/>
      <c r="F198" s="18">
        <f>IFERROR(SUMIFS(ENTRADAS[CANTIDAD],ENTRADAS[Columna1],INVENTARIO[[#This Row],[DESCRIPCION]],ENTRADAS[LOTE],INVENTARIO[[#This Row],[CATALOGO]]),"-")</f>
        <v>0</v>
      </c>
      <c r="G198" s="18">
        <f>IFERROR(SUMIFS(SALIDAS[CANTIDAD],SALIDAS[DESCRIPCION],INVENTARIO[[#This Row],[DESCRIPCION]],SALIDAS[LOTE],INVENTARIO[[#This Row],[CATALOGO]]),"-")</f>
        <v>0</v>
      </c>
      <c r="H198" s="18"/>
      <c r="I198" s="18"/>
      <c r="J198" s="18">
        <f>INVENTARIO[[#This Row],[ENTRADAS]]-INVENTARIO[[#This Row],[SALIDAS]]</f>
        <v>0</v>
      </c>
      <c r="K198" s="16"/>
      <c r="L198" s="19"/>
    </row>
    <row r="199" spans="1:12" x14ac:dyDescent="0.25">
      <c r="A199" s="28">
        <v>197</v>
      </c>
      <c r="B199" s="15"/>
      <c r="C199" s="13"/>
      <c r="D199" s="12" t="s">
        <v>96</v>
      </c>
      <c r="E199" s="21"/>
      <c r="F199" s="18">
        <f>IFERROR(SUMIFS(ENTRADAS[CANTIDAD],ENTRADAS[Columna1],INVENTARIO[[#This Row],[DESCRIPCION]],ENTRADAS[LOTE],INVENTARIO[[#This Row],[CATALOGO]]),"-")</f>
        <v>0</v>
      </c>
      <c r="G199" s="18">
        <f>IFERROR(SUMIFS(SALIDAS[CANTIDAD],SALIDAS[DESCRIPCION],INVENTARIO[[#This Row],[DESCRIPCION]],SALIDAS[LOTE],INVENTARIO[[#This Row],[CATALOGO]]),"-")</f>
        <v>0</v>
      </c>
      <c r="H199" s="18"/>
      <c r="I199" s="18"/>
      <c r="J199" s="18">
        <f>INVENTARIO[[#This Row],[ENTRADAS]]-INVENTARIO[[#This Row],[SALIDAS]]</f>
        <v>0</v>
      </c>
      <c r="K199" s="16"/>
      <c r="L199" s="19"/>
    </row>
    <row r="200" spans="1:12" x14ac:dyDescent="0.25">
      <c r="A200" s="28">
        <v>198</v>
      </c>
      <c r="B200" s="15"/>
      <c r="C200" s="15"/>
      <c r="D200" s="15" t="s">
        <v>210</v>
      </c>
      <c r="E200" s="21"/>
      <c r="F200" s="17">
        <f>IFERROR(SUMIFS(ENTRADAS[CANTIDAD],ENTRADAS[Columna1],INVENTARIO[[#This Row],[DESCRIPCION]],ENTRADAS[LOTE],INVENTARIO[[#This Row],[CATALOGO]]),"-")</f>
        <v>0</v>
      </c>
      <c r="G200" s="17">
        <f>IFERROR(SUMIFS(SALIDAS[CANTIDAD],SALIDAS[DESCRIPCION],INVENTARIO[[#This Row],[DESCRIPCION]],SALIDAS[LOTE],INVENTARIO[[#This Row],[CATALOGO]]),"-")</f>
        <v>0</v>
      </c>
      <c r="H200" s="18"/>
      <c r="I200" s="18"/>
      <c r="J200" s="17">
        <f>INVENTARIO[[#This Row],[ENTRADAS]]-INVENTARIO[[#This Row],[SALIDAS]]</f>
        <v>0</v>
      </c>
      <c r="K200" s="16"/>
      <c r="L200" s="19"/>
    </row>
    <row r="201" spans="1:12" x14ac:dyDescent="0.25">
      <c r="A201" s="28">
        <v>199</v>
      </c>
      <c r="B201" s="15"/>
      <c r="C201" s="13"/>
      <c r="D201" s="12" t="s">
        <v>122</v>
      </c>
      <c r="E201" s="21"/>
      <c r="F201" s="17">
        <f>IFERROR(SUMIFS(ENTRADAS[CANTIDAD],ENTRADAS[Columna1],INVENTARIO[[#This Row],[DESCRIPCION]],ENTRADAS[LOTE],INVENTARIO[[#This Row],[CATALOGO]]),"-")</f>
        <v>0</v>
      </c>
      <c r="G201" s="17">
        <f>IFERROR(SUMIFS(SALIDAS[CANTIDAD],SALIDAS[DESCRIPCION],INVENTARIO[[#This Row],[DESCRIPCION]],SALIDAS[LOTE],INVENTARIO[[#This Row],[CATALOGO]]),"-")</f>
        <v>0</v>
      </c>
      <c r="H201" s="18"/>
      <c r="I201" s="18"/>
      <c r="J201" s="17">
        <f>INVENTARIO[[#This Row],[ENTRADAS]]-INVENTARIO[[#This Row],[SALIDAS]]</f>
        <v>0</v>
      </c>
      <c r="K201" s="16"/>
      <c r="L201" s="19"/>
    </row>
    <row r="202" spans="1:12" x14ac:dyDescent="0.25">
      <c r="A202" s="28">
        <v>200</v>
      </c>
      <c r="B202" s="15"/>
      <c r="C202" s="15"/>
      <c r="D202" s="15" t="s">
        <v>106</v>
      </c>
      <c r="E202" s="21"/>
      <c r="F202" s="18">
        <f>IFERROR(SUMIFS(ENTRADAS[CANTIDAD],ENTRADAS[Columna1],INVENTARIO[[#This Row],[DESCRIPCION]],ENTRADAS[LOTE],INVENTARIO[[#This Row],[CATALOGO]]),"-")</f>
        <v>0</v>
      </c>
      <c r="G202" s="18">
        <f>IFERROR(SUMIFS(SALIDAS[CANTIDAD],SALIDAS[DESCRIPCION],INVENTARIO[[#This Row],[DESCRIPCION]],SALIDAS[LOTE],INVENTARIO[[#This Row],[CATALOGO]]),"-")</f>
        <v>0</v>
      </c>
      <c r="H202" s="18"/>
      <c r="I202" s="18"/>
      <c r="J202" s="18">
        <f>INVENTARIO[[#This Row],[ENTRADAS]]-INVENTARIO[[#This Row],[SALIDAS]]</f>
        <v>0</v>
      </c>
      <c r="K202" s="16"/>
      <c r="L202" s="19"/>
    </row>
    <row r="203" spans="1:12" x14ac:dyDescent="0.25">
      <c r="A203" s="28">
        <v>201</v>
      </c>
      <c r="B203" s="15"/>
      <c r="C203" s="13"/>
      <c r="D203" s="12" t="s">
        <v>231</v>
      </c>
      <c r="E203" s="21"/>
      <c r="F203" s="17">
        <f>IFERROR(SUMIFS(ENTRADAS[CANTIDAD],ENTRADAS[Columna1],INVENTARIO[[#This Row],[DESCRIPCION]],ENTRADAS[LOTE],INVENTARIO[[#This Row],[CATALOGO]]),"-")</f>
        <v>0</v>
      </c>
      <c r="G203" s="17">
        <f>IFERROR(SUMIFS(SALIDAS[CANTIDAD],SALIDAS[DESCRIPCION],INVENTARIO[[#This Row],[DESCRIPCION]],SALIDAS[LOTE],INVENTARIO[[#This Row],[CATALOGO]]),"-")</f>
        <v>0</v>
      </c>
      <c r="H203" s="18"/>
      <c r="I203" s="18"/>
      <c r="J203" s="17">
        <f>INVENTARIO[[#This Row],[ENTRADAS]]-INVENTARIO[[#This Row],[SALIDAS]]</f>
        <v>0</v>
      </c>
      <c r="K203" s="16"/>
      <c r="L203" s="19"/>
    </row>
    <row r="204" spans="1:12" x14ac:dyDescent="0.25">
      <c r="A204" s="28">
        <v>202</v>
      </c>
      <c r="B204" s="15"/>
      <c r="C204" s="15"/>
      <c r="D204" s="15" t="s">
        <v>107</v>
      </c>
      <c r="E204" s="21"/>
      <c r="F204" s="18">
        <f>IFERROR(SUMIFS(ENTRADAS[CANTIDAD],ENTRADAS[Columna1],INVENTARIO[[#This Row],[DESCRIPCION]],ENTRADAS[LOTE],INVENTARIO[[#This Row],[CATALOGO]]),"-")</f>
        <v>0</v>
      </c>
      <c r="G204" s="18">
        <f>IFERROR(SUMIFS(SALIDAS[CANTIDAD],SALIDAS[DESCRIPCION],INVENTARIO[[#This Row],[DESCRIPCION]],SALIDAS[LOTE],INVENTARIO[[#This Row],[CATALOGO]]),"-")</f>
        <v>0</v>
      </c>
      <c r="H204" s="18"/>
      <c r="I204" s="18"/>
      <c r="J204" s="18">
        <f>INVENTARIO[[#This Row],[ENTRADAS]]-INVENTARIO[[#This Row],[SALIDAS]]</f>
        <v>0</v>
      </c>
      <c r="K204" s="16"/>
      <c r="L204" s="19"/>
    </row>
    <row r="205" spans="1:12" x14ac:dyDescent="0.25">
      <c r="A205" s="28">
        <v>203</v>
      </c>
      <c r="B205" s="15"/>
      <c r="C205" s="13"/>
      <c r="D205" s="12" t="s">
        <v>56</v>
      </c>
      <c r="E205" s="21"/>
      <c r="F205" s="18">
        <f>IFERROR(SUMIFS(ENTRADAS[CANTIDAD],ENTRADAS[Columna1],INVENTARIO[[#This Row],[DESCRIPCION]],ENTRADAS[LOTE],INVENTARIO[[#This Row],[CATALOGO]]),"-")</f>
        <v>0</v>
      </c>
      <c r="G205" s="18">
        <f>IFERROR(SUMIFS(SALIDAS[CANTIDAD],SALIDAS[DESCRIPCION],INVENTARIO[[#This Row],[DESCRIPCION]],SALIDAS[LOTE],INVENTARIO[[#This Row],[CATALOGO]]),"-")</f>
        <v>0</v>
      </c>
      <c r="H205" s="18"/>
      <c r="I205" s="18"/>
      <c r="J205" s="18">
        <f>INVENTARIO[[#This Row],[ENTRADAS]]-INVENTARIO[[#This Row],[SALIDAS]]</f>
        <v>0</v>
      </c>
      <c r="K205" s="16"/>
      <c r="L205" s="19"/>
    </row>
    <row r="206" spans="1:12" x14ac:dyDescent="0.25">
      <c r="A206" s="28">
        <v>204</v>
      </c>
      <c r="B206" s="15"/>
      <c r="C206" s="15"/>
      <c r="D206" s="15" t="s">
        <v>199</v>
      </c>
      <c r="E206" s="21"/>
      <c r="F206" s="17">
        <f>IFERROR(SUMIFS(ENTRADAS[CANTIDAD],ENTRADAS[Columna1],INVENTARIO[[#This Row],[DESCRIPCION]],ENTRADAS[LOTE],INVENTARIO[[#This Row],[CATALOGO]]),"-")</f>
        <v>0</v>
      </c>
      <c r="G206" s="17">
        <f>IFERROR(SUMIFS(SALIDAS[CANTIDAD],SALIDAS[DESCRIPCION],INVENTARIO[[#This Row],[DESCRIPCION]],SALIDAS[LOTE],INVENTARIO[[#This Row],[CATALOGO]]),"-")</f>
        <v>0</v>
      </c>
      <c r="H206" s="18"/>
      <c r="I206" s="18"/>
      <c r="J206" s="17">
        <f>INVENTARIO[[#This Row],[ENTRADAS]]-INVENTARIO[[#This Row],[SALIDAS]]</f>
        <v>0</v>
      </c>
      <c r="K206" s="16"/>
      <c r="L206" s="19"/>
    </row>
    <row r="207" spans="1:12" x14ac:dyDescent="0.25">
      <c r="A207" s="28">
        <v>205</v>
      </c>
      <c r="B207" s="15"/>
      <c r="C207" s="13"/>
      <c r="D207" s="12" t="s">
        <v>73</v>
      </c>
      <c r="E207" s="21"/>
      <c r="F207" s="18">
        <f>IFERROR(SUMIFS(ENTRADAS[CANTIDAD],ENTRADAS[Columna1],INVENTARIO[[#This Row],[DESCRIPCION]],ENTRADAS[LOTE],INVENTARIO[[#This Row],[CATALOGO]]),"-")</f>
        <v>0</v>
      </c>
      <c r="G207" s="18">
        <f>IFERROR(SUMIFS(SALIDAS[CANTIDAD],SALIDAS[DESCRIPCION],INVENTARIO[[#This Row],[DESCRIPCION]],SALIDAS[LOTE],INVENTARIO[[#This Row],[CATALOGO]]),"-")</f>
        <v>0</v>
      </c>
      <c r="H207" s="18"/>
      <c r="I207" s="18"/>
      <c r="J207" s="18">
        <f>INVENTARIO[[#This Row],[ENTRADAS]]-INVENTARIO[[#This Row],[SALIDAS]]</f>
        <v>0</v>
      </c>
      <c r="K207" s="16"/>
      <c r="L207" s="19"/>
    </row>
    <row r="208" spans="1:12" x14ac:dyDescent="0.25">
      <c r="A208" s="28">
        <v>206</v>
      </c>
      <c r="B208" s="15"/>
      <c r="C208" s="15"/>
      <c r="D208" s="15" t="s">
        <v>62</v>
      </c>
      <c r="E208" s="21"/>
      <c r="F208" s="18">
        <f>IFERROR(SUMIFS(ENTRADAS[CANTIDAD],ENTRADAS[Columna1],INVENTARIO[[#This Row],[DESCRIPCION]],ENTRADAS[LOTE],INVENTARIO[[#This Row],[CATALOGO]]),"-")</f>
        <v>0</v>
      </c>
      <c r="G208" s="18">
        <f>IFERROR(SUMIFS(SALIDAS[CANTIDAD],SALIDAS[DESCRIPCION],INVENTARIO[[#This Row],[DESCRIPCION]],SALIDAS[LOTE],INVENTARIO[[#This Row],[CATALOGO]]),"-")</f>
        <v>0</v>
      </c>
      <c r="H208" s="18"/>
      <c r="I208" s="18"/>
      <c r="J208" s="18">
        <f>INVENTARIO[[#This Row],[ENTRADAS]]-INVENTARIO[[#This Row],[SALIDAS]]</f>
        <v>0</v>
      </c>
      <c r="K208" s="16"/>
      <c r="L208" s="19"/>
    </row>
    <row r="209" spans="1:12" x14ac:dyDescent="0.25">
      <c r="A209" s="28">
        <v>207</v>
      </c>
      <c r="B209" s="15"/>
      <c r="C209" s="13"/>
      <c r="D209" s="12" t="s">
        <v>187</v>
      </c>
      <c r="E209" s="21"/>
      <c r="F209" s="17">
        <f>IFERROR(SUMIFS(ENTRADAS[CANTIDAD],ENTRADAS[Columna1],INVENTARIO[[#This Row],[DESCRIPCION]],ENTRADAS[LOTE],INVENTARIO[[#This Row],[CATALOGO]]),"-")</f>
        <v>0</v>
      </c>
      <c r="G209" s="17">
        <f>IFERROR(SUMIFS(SALIDAS[CANTIDAD],SALIDAS[DESCRIPCION],INVENTARIO[[#This Row],[DESCRIPCION]],SALIDAS[LOTE],INVENTARIO[[#This Row],[CATALOGO]]),"-")</f>
        <v>0</v>
      </c>
      <c r="H209" s="18"/>
      <c r="I209" s="18"/>
      <c r="J209" s="17">
        <f>INVENTARIO[[#This Row],[ENTRADAS]]-INVENTARIO[[#This Row],[SALIDAS]]</f>
        <v>0</v>
      </c>
      <c r="K209" s="16"/>
      <c r="L209" s="19"/>
    </row>
    <row r="210" spans="1:12" x14ac:dyDescent="0.25">
      <c r="A210" s="28">
        <v>208</v>
      </c>
      <c r="B210" s="15"/>
      <c r="C210" s="15"/>
      <c r="D210" s="15" t="s">
        <v>108</v>
      </c>
      <c r="E210" s="21"/>
      <c r="F210" s="18">
        <f>IFERROR(SUMIFS(ENTRADAS[CANTIDAD],ENTRADAS[Columna1],INVENTARIO[[#This Row],[DESCRIPCION]],ENTRADAS[LOTE],INVENTARIO[[#This Row],[CATALOGO]]),"-")</f>
        <v>0</v>
      </c>
      <c r="G210" s="18">
        <f>IFERROR(SUMIFS(SALIDAS[CANTIDAD],SALIDAS[DESCRIPCION],INVENTARIO[[#This Row],[DESCRIPCION]],SALIDAS[LOTE],INVENTARIO[[#This Row],[CATALOGO]]),"-")</f>
        <v>0</v>
      </c>
      <c r="H210" s="18"/>
      <c r="I210" s="18"/>
      <c r="J210" s="18">
        <f>INVENTARIO[[#This Row],[ENTRADAS]]-INVENTARIO[[#This Row],[SALIDAS]]</f>
        <v>0</v>
      </c>
      <c r="K210" s="16"/>
      <c r="L210" s="19"/>
    </row>
    <row r="211" spans="1:12" x14ac:dyDescent="0.25">
      <c r="A211" s="28">
        <v>209</v>
      </c>
      <c r="B211" s="15"/>
      <c r="C211" s="13"/>
      <c r="D211" s="12" t="s">
        <v>22</v>
      </c>
      <c r="E211" s="21"/>
      <c r="F211" s="18">
        <f>IFERROR(SUMIFS(ENTRADAS[CANTIDAD],ENTRADAS[Columna1],INVENTARIO[[#This Row],[DESCRIPCION]],ENTRADAS[LOTE],INVENTARIO[[#This Row],[CATALOGO]]),"-")</f>
        <v>0</v>
      </c>
      <c r="G211" s="18">
        <f>IFERROR(SUMIFS(SALIDAS[CANTIDAD],SALIDAS[DESCRIPCION],INVENTARIO[[#This Row],[DESCRIPCION]],SALIDAS[LOTE],INVENTARIO[[#This Row],[CATALOGO]]),"-")</f>
        <v>0</v>
      </c>
      <c r="H211" s="18"/>
      <c r="I211" s="18"/>
      <c r="J211" s="18">
        <f>INVENTARIO[[#This Row],[ENTRADAS]]-INVENTARIO[[#This Row],[SALIDAS]]</f>
        <v>0</v>
      </c>
      <c r="K211" s="16"/>
      <c r="L211" s="19"/>
    </row>
    <row r="212" spans="1:12" x14ac:dyDescent="0.25">
      <c r="A212" s="28">
        <v>210</v>
      </c>
      <c r="B212" s="15"/>
      <c r="C212" s="15"/>
      <c r="D212" s="15" t="s">
        <v>50</v>
      </c>
      <c r="E212" s="21"/>
      <c r="F212" s="18">
        <f>IFERROR(SUMIFS(ENTRADAS[CANTIDAD],ENTRADAS[Columna1],INVENTARIO[[#This Row],[DESCRIPCION]],ENTRADAS[LOTE],INVENTARIO[[#This Row],[CATALOGO]]),"-")</f>
        <v>0</v>
      </c>
      <c r="G212" s="18">
        <f>IFERROR(SUMIFS(SALIDAS[CANTIDAD],SALIDAS[DESCRIPCION],INVENTARIO[[#This Row],[DESCRIPCION]],SALIDAS[LOTE],INVENTARIO[[#This Row],[CATALOGO]]),"-")</f>
        <v>0</v>
      </c>
      <c r="H212" s="18"/>
      <c r="I212" s="18"/>
      <c r="J212" s="18">
        <f>INVENTARIO[[#This Row],[ENTRADAS]]-INVENTARIO[[#This Row],[SALIDAS]]</f>
        <v>0</v>
      </c>
      <c r="K212" s="16"/>
      <c r="L212" s="19"/>
    </row>
    <row r="213" spans="1:12" x14ac:dyDescent="0.25">
      <c r="A213" s="28">
        <v>211</v>
      </c>
      <c r="B213" s="15"/>
      <c r="C213" s="13"/>
      <c r="D213" s="12" t="s">
        <v>168</v>
      </c>
      <c r="E213" s="21"/>
      <c r="F213" s="17">
        <f>IFERROR(SUMIFS(ENTRADAS[CANTIDAD],ENTRADAS[Columna1],INVENTARIO[[#This Row],[DESCRIPCION]],ENTRADAS[LOTE],INVENTARIO[[#This Row],[CATALOGO]]),"-")</f>
        <v>0</v>
      </c>
      <c r="G213" s="17">
        <f>IFERROR(SUMIFS(SALIDAS[CANTIDAD],SALIDAS[DESCRIPCION],INVENTARIO[[#This Row],[DESCRIPCION]],SALIDAS[LOTE],INVENTARIO[[#This Row],[CATALOGO]]),"-")</f>
        <v>0</v>
      </c>
      <c r="H213" s="18"/>
      <c r="I213" s="18"/>
      <c r="J213" s="17">
        <f>INVENTARIO[[#This Row],[ENTRADAS]]-INVENTARIO[[#This Row],[SALIDAS]]</f>
        <v>0</v>
      </c>
      <c r="K213" s="16"/>
      <c r="L213" s="19"/>
    </row>
    <row r="214" spans="1:12" x14ac:dyDescent="0.25">
      <c r="A214" s="28">
        <v>212</v>
      </c>
      <c r="B214" s="15"/>
      <c r="C214" s="15"/>
      <c r="D214" s="15" t="s">
        <v>72</v>
      </c>
      <c r="E214" s="21"/>
      <c r="F214" s="18">
        <f>IFERROR(SUMIFS(ENTRADAS[CANTIDAD],ENTRADAS[Columna1],INVENTARIO[[#This Row],[DESCRIPCION]],ENTRADAS[LOTE],INVENTARIO[[#This Row],[CATALOGO]]),"-")</f>
        <v>0</v>
      </c>
      <c r="G214" s="18">
        <f>IFERROR(SUMIFS(SALIDAS[CANTIDAD],SALIDAS[DESCRIPCION],INVENTARIO[[#This Row],[DESCRIPCION]],SALIDAS[LOTE],INVENTARIO[[#This Row],[CATALOGO]]),"-")</f>
        <v>0</v>
      </c>
      <c r="H214" s="18"/>
      <c r="I214" s="18"/>
      <c r="J214" s="18">
        <f>INVENTARIO[[#This Row],[ENTRADAS]]-INVENTARIO[[#This Row],[SALIDAS]]</f>
        <v>0</v>
      </c>
      <c r="K214" s="16"/>
      <c r="L214" s="19"/>
    </row>
    <row r="215" spans="1:12" x14ac:dyDescent="0.25">
      <c r="A215" s="28">
        <v>213</v>
      </c>
      <c r="B215" s="15"/>
      <c r="C215" s="13"/>
      <c r="D215" s="12" t="s">
        <v>36</v>
      </c>
      <c r="E215" s="21"/>
      <c r="F215" s="18">
        <f>IFERROR(SUMIFS(ENTRADAS[CANTIDAD],ENTRADAS[Columna1],INVENTARIO[[#This Row],[DESCRIPCION]],ENTRADAS[LOTE],INVENTARIO[[#This Row],[CATALOGO]]),"-")</f>
        <v>0</v>
      </c>
      <c r="G215" s="18">
        <f>IFERROR(SUMIFS(SALIDAS[CANTIDAD],SALIDAS[DESCRIPCION],INVENTARIO[[#This Row],[DESCRIPCION]],SALIDAS[LOTE],INVENTARIO[[#This Row],[CATALOGO]]),"-")</f>
        <v>0</v>
      </c>
      <c r="H215" s="18"/>
      <c r="I215" s="18"/>
      <c r="J215" s="18">
        <f>INVENTARIO[[#This Row],[ENTRADAS]]-INVENTARIO[[#This Row],[SALIDAS]]</f>
        <v>0</v>
      </c>
      <c r="K215" s="16"/>
      <c r="L215" s="19"/>
    </row>
    <row r="216" spans="1:12" x14ac:dyDescent="0.25">
      <c r="A216" s="28">
        <v>214</v>
      </c>
      <c r="B216" s="15"/>
      <c r="C216" s="15"/>
      <c r="D216" s="15" t="s">
        <v>37</v>
      </c>
      <c r="E216" s="21"/>
      <c r="F216" s="18">
        <f>IFERROR(SUMIFS(ENTRADAS[CANTIDAD],ENTRADAS[Columna1],INVENTARIO[[#This Row],[DESCRIPCION]],ENTRADAS[LOTE],INVENTARIO[[#This Row],[CATALOGO]]),"-")</f>
        <v>0</v>
      </c>
      <c r="G216" s="18">
        <f>IFERROR(SUMIFS(SALIDAS[CANTIDAD],SALIDAS[DESCRIPCION],INVENTARIO[[#This Row],[DESCRIPCION]],SALIDAS[LOTE],INVENTARIO[[#This Row],[CATALOGO]]),"-")</f>
        <v>0</v>
      </c>
      <c r="H216" s="18"/>
      <c r="I216" s="18"/>
      <c r="J216" s="18">
        <f>INVENTARIO[[#This Row],[ENTRADAS]]-INVENTARIO[[#This Row],[SALIDAS]]</f>
        <v>0</v>
      </c>
      <c r="K216" s="16"/>
      <c r="L216" s="19"/>
    </row>
    <row r="217" spans="1:12" x14ac:dyDescent="0.25">
      <c r="A217" s="28">
        <v>215</v>
      </c>
      <c r="B217" s="15"/>
      <c r="C217" s="13"/>
      <c r="D217" s="12" t="s">
        <v>162</v>
      </c>
      <c r="E217" s="21"/>
      <c r="F217" s="17">
        <f>IFERROR(SUMIFS(ENTRADAS[CANTIDAD],ENTRADAS[Columna1],INVENTARIO[[#This Row],[DESCRIPCION]],ENTRADAS[LOTE],INVENTARIO[[#This Row],[CATALOGO]]),"-")</f>
        <v>0</v>
      </c>
      <c r="G217" s="17">
        <f>IFERROR(SUMIFS(SALIDAS[CANTIDAD],SALIDAS[DESCRIPCION],INVENTARIO[[#This Row],[DESCRIPCION]],SALIDAS[LOTE],INVENTARIO[[#This Row],[CATALOGO]]),"-")</f>
        <v>0</v>
      </c>
      <c r="H217" s="18"/>
      <c r="I217" s="18"/>
      <c r="J217" s="17">
        <f>INVENTARIO[[#This Row],[ENTRADAS]]-INVENTARIO[[#This Row],[SALIDAS]]</f>
        <v>0</v>
      </c>
      <c r="K217" s="16"/>
      <c r="L217" s="19"/>
    </row>
    <row r="218" spans="1:12" x14ac:dyDescent="0.25">
      <c r="A218" s="28">
        <v>216</v>
      </c>
      <c r="B218" s="15"/>
      <c r="C218" s="15"/>
      <c r="D218" s="15" t="s">
        <v>208</v>
      </c>
      <c r="E218" s="22"/>
      <c r="F218" s="17">
        <f>IFERROR(SUMIFS(ENTRADAS[CANTIDAD],ENTRADAS[Columna1],INVENTARIO[[#This Row],[DESCRIPCION]],ENTRADAS[LOTE],INVENTARIO[[#This Row],[CATALOGO]]),"-")</f>
        <v>0</v>
      </c>
      <c r="G218" s="17">
        <f>IFERROR(SUMIFS(SALIDAS[CANTIDAD],SALIDAS[DESCRIPCION],INVENTARIO[[#This Row],[DESCRIPCION]],SALIDAS[LOTE],INVENTARIO[[#This Row],[CATALOGO]]),"-")</f>
        <v>0</v>
      </c>
      <c r="H218" s="18"/>
      <c r="I218" s="18"/>
      <c r="J218" s="17">
        <f>INVENTARIO[[#This Row],[ENTRADAS]]-INVENTARIO[[#This Row],[SALIDAS]]</f>
        <v>0</v>
      </c>
      <c r="K218" s="16"/>
      <c r="L218" s="19"/>
    </row>
    <row r="219" spans="1:12" x14ac:dyDescent="0.25">
      <c r="A219" s="28">
        <v>217</v>
      </c>
      <c r="B219" s="15"/>
      <c r="C219" s="13"/>
      <c r="D219" s="12" t="s">
        <v>58</v>
      </c>
      <c r="E219" s="22"/>
      <c r="F219" s="18">
        <f>IFERROR(SUMIFS(ENTRADAS[CANTIDAD],ENTRADAS[Columna1],INVENTARIO[[#This Row],[DESCRIPCION]],ENTRADAS[LOTE],INVENTARIO[[#This Row],[CATALOGO]]),"-")</f>
        <v>0</v>
      </c>
      <c r="G219" s="18">
        <f>IFERROR(SUMIFS(SALIDAS[CANTIDAD],SALIDAS[DESCRIPCION],INVENTARIO[[#This Row],[DESCRIPCION]],SALIDAS[LOTE],INVENTARIO[[#This Row],[CATALOGO]]),"-")</f>
        <v>0</v>
      </c>
      <c r="H219" s="18"/>
      <c r="I219" s="18"/>
      <c r="J219" s="18">
        <f>INVENTARIO[[#This Row],[ENTRADAS]]-INVENTARIO[[#This Row],[SALIDAS]]</f>
        <v>0</v>
      </c>
      <c r="K219" s="16"/>
      <c r="L219" s="19"/>
    </row>
    <row r="220" spans="1:12" x14ac:dyDescent="0.25">
      <c r="A220" s="28">
        <v>218</v>
      </c>
      <c r="B220" s="15"/>
      <c r="C220" s="15"/>
      <c r="D220" s="15" t="s">
        <v>129</v>
      </c>
      <c r="E220" s="22"/>
      <c r="F220" s="17">
        <f>IFERROR(SUMIFS(ENTRADAS[CANTIDAD],ENTRADAS[Columna1],INVENTARIO[[#This Row],[DESCRIPCION]],ENTRADAS[LOTE],INVENTARIO[[#This Row],[CATALOGO]]),"-")</f>
        <v>0</v>
      </c>
      <c r="G220" s="17">
        <f>IFERROR(SUMIFS(SALIDAS[CANTIDAD],SALIDAS[DESCRIPCION],INVENTARIO[[#This Row],[DESCRIPCION]],SALIDAS[LOTE],INVENTARIO[[#This Row],[CATALOGO]]),"-")</f>
        <v>0</v>
      </c>
      <c r="H220" s="18"/>
      <c r="I220" s="18"/>
      <c r="J220" s="17">
        <f>INVENTARIO[[#This Row],[ENTRADAS]]-INVENTARIO[[#This Row],[SALIDAS]]</f>
        <v>0</v>
      </c>
      <c r="K220" s="16"/>
      <c r="L220" s="19"/>
    </row>
    <row r="221" spans="1:12" x14ac:dyDescent="0.25">
      <c r="A221" s="28">
        <v>219</v>
      </c>
      <c r="B221" s="15"/>
      <c r="C221" s="13"/>
      <c r="D221" s="12" t="s">
        <v>128</v>
      </c>
      <c r="E221" s="22"/>
      <c r="F221" s="17">
        <f>IFERROR(SUMIFS(ENTRADAS[CANTIDAD],ENTRADAS[Columna1],INVENTARIO[[#This Row],[DESCRIPCION]],ENTRADAS[LOTE],INVENTARIO[[#This Row],[CATALOGO]]),"-")</f>
        <v>0</v>
      </c>
      <c r="G221" s="17">
        <f>IFERROR(SUMIFS(SALIDAS[CANTIDAD],SALIDAS[DESCRIPCION],INVENTARIO[[#This Row],[DESCRIPCION]],SALIDAS[LOTE],INVENTARIO[[#This Row],[CATALOGO]]),"-")</f>
        <v>0</v>
      </c>
      <c r="H221" s="18"/>
      <c r="I221" s="18"/>
      <c r="J221" s="17">
        <f>INVENTARIO[[#This Row],[ENTRADAS]]-INVENTARIO[[#This Row],[SALIDAS]]</f>
        <v>0</v>
      </c>
      <c r="K221" s="16"/>
      <c r="L221" s="19"/>
    </row>
    <row r="222" spans="1:12" x14ac:dyDescent="0.25">
      <c r="A222" s="28">
        <v>220</v>
      </c>
      <c r="B222" s="15"/>
      <c r="C222" s="15"/>
      <c r="D222" s="15" t="s">
        <v>134</v>
      </c>
      <c r="E222" s="22"/>
      <c r="F222" s="17">
        <f>IFERROR(SUMIFS(ENTRADAS[CANTIDAD],ENTRADAS[Columna1],INVENTARIO[[#This Row],[DESCRIPCION]],ENTRADAS[LOTE],INVENTARIO[[#This Row],[CATALOGO]]),"-")</f>
        <v>0</v>
      </c>
      <c r="G222" s="17">
        <f>IFERROR(SUMIFS(SALIDAS[CANTIDAD],SALIDAS[DESCRIPCION],INVENTARIO[[#This Row],[DESCRIPCION]],SALIDAS[LOTE],INVENTARIO[[#This Row],[CATALOGO]]),"-")</f>
        <v>0</v>
      </c>
      <c r="H222" s="18"/>
      <c r="I222" s="18"/>
      <c r="J222" s="17">
        <f>INVENTARIO[[#This Row],[ENTRADAS]]-INVENTARIO[[#This Row],[SALIDAS]]</f>
        <v>0</v>
      </c>
      <c r="K222" s="16"/>
      <c r="L222" s="19"/>
    </row>
    <row r="223" spans="1:12" x14ac:dyDescent="0.25">
      <c r="A223" s="28">
        <v>221</v>
      </c>
      <c r="B223" s="15"/>
      <c r="C223" s="13"/>
      <c r="D223" s="12" t="s">
        <v>133</v>
      </c>
      <c r="E223" s="22"/>
      <c r="F223" s="17">
        <f>IFERROR(SUMIFS(ENTRADAS[CANTIDAD],ENTRADAS[Columna1],INVENTARIO[[#This Row],[DESCRIPCION]],ENTRADAS[LOTE],INVENTARIO[[#This Row],[CATALOGO]]),"-")</f>
        <v>0</v>
      </c>
      <c r="G223" s="17">
        <f>IFERROR(SUMIFS(SALIDAS[CANTIDAD],SALIDAS[DESCRIPCION],INVENTARIO[[#This Row],[DESCRIPCION]],SALIDAS[LOTE],INVENTARIO[[#This Row],[CATALOGO]]),"-")</f>
        <v>0</v>
      </c>
      <c r="H223" s="18"/>
      <c r="I223" s="18"/>
      <c r="J223" s="17">
        <f>INVENTARIO[[#This Row],[ENTRADAS]]-INVENTARIO[[#This Row],[SALIDAS]]</f>
        <v>0</v>
      </c>
      <c r="K223" s="16"/>
      <c r="L223" s="19"/>
    </row>
    <row r="224" spans="1:12" x14ac:dyDescent="0.25">
      <c r="A224" s="28">
        <v>222</v>
      </c>
      <c r="B224" s="15"/>
      <c r="C224" s="15"/>
      <c r="D224" s="15" t="s">
        <v>132</v>
      </c>
      <c r="E224" s="22"/>
      <c r="F224" s="17">
        <f>IFERROR(SUMIFS(ENTRADAS[CANTIDAD],ENTRADAS[Columna1],INVENTARIO[[#This Row],[DESCRIPCION]],ENTRADAS[LOTE],INVENTARIO[[#This Row],[CATALOGO]]),"-")</f>
        <v>0</v>
      </c>
      <c r="G224" s="17">
        <f>IFERROR(SUMIFS(SALIDAS[CANTIDAD],SALIDAS[DESCRIPCION],INVENTARIO[[#This Row],[DESCRIPCION]],SALIDAS[LOTE],INVENTARIO[[#This Row],[CATALOGO]]),"-")</f>
        <v>0</v>
      </c>
      <c r="H224" s="18"/>
      <c r="I224" s="18"/>
      <c r="J224" s="17">
        <f>INVENTARIO[[#This Row],[ENTRADAS]]-INVENTARIO[[#This Row],[SALIDAS]]</f>
        <v>0</v>
      </c>
      <c r="K224" s="16"/>
      <c r="L224" s="19"/>
    </row>
    <row r="225" spans="1:12" x14ac:dyDescent="0.25">
      <c r="A225" s="28">
        <v>223</v>
      </c>
      <c r="B225" s="15"/>
      <c r="C225" s="13"/>
      <c r="D225" s="12" t="s">
        <v>131</v>
      </c>
      <c r="E225" s="22"/>
      <c r="F225" s="17">
        <f>IFERROR(SUMIFS(ENTRADAS[CANTIDAD],ENTRADAS[Columna1],INVENTARIO[[#This Row],[DESCRIPCION]],ENTRADAS[LOTE],INVENTARIO[[#This Row],[CATALOGO]]),"-")</f>
        <v>0</v>
      </c>
      <c r="G225" s="17">
        <f>IFERROR(SUMIFS(SALIDAS[CANTIDAD],SALIDAS[DESCRIPCION],INVENTARIO[[#This Row],[DESCRIPCION]],SALIDAS[LOTE],INVENTARIO[[#This Row],[CATALOGO]]),"-")</f>
        <v>0</v>
      </c>
      <c r="H225" s="18"/>
      <c r="I225" s="18"/>
      <c r="J225" s="17">
        <f>INVENTARIO[[#This Row],[ENTRADAS]]-INVENTARIO[[#This Row],[SALIDAS]]</f>
        <v>0</v>
      </c>
      <c r="K225" s="16"/>
      <c r="L225" s="19"/>
    </row>
    <row r="226" spans="1:12" x14ac:dyDescent="0.25">
      <c r="A226" s="28">
        <v>224</v>
      </c>
      <c r="B226" s="15"/>
      <c r="C226" s="15"/>
      <c r="D226" s="15" t="s">
        <v>135</v>
      </c>
      <c r="E226" s="22"/>
      <c r="F226" s="17">
        <f>IFERROR(SUMIFS(ENTRADAS[CANTIDAD],ENTRADAS[Columna1],INVENTARIO[[#This Row],[DESCRIPCION]],ENTRADAS[LOTE],INVENTARIO[[#This Row],[CATALOGO]]),"-")</f>
        <v>0</v>
      </c>
      <c r="G226" s="17">
        <f>IFERROR(SUMIFS(SALIDAS[CANTIDAD],SALIDAS[DESCRIPCION],INVENTARIO[[#This Row],[DESCRIPCION]],SALIDAS[LOTE],INVENTARIO[[#This Row],[CATALOGO]]),"-")</f>
        <v>0</v>
      </c>
      <c r="H226" s="18"/>
      <c r="I226" s="18"/>
      <c r="J226" s="17">
        <f>INVENTARIO[[#This Row],[ENTRADAS]]-INVENTARIO[[#This Row],[SALIDAS]]</f>
        <v>0</v>
      </c>
      <c r="K226" s="16"/>
      <c r="L226" s="19"/>
    </row>
    <row r="227" spans="1:12" x14ac:dyDescent="0.25">
      <c r="A227" s="28">
        <v>225</v>
      </c>
      <c r="B227" s="15"/>
      <c r="C227" s="13"/>
      <c r="D227" s="12" t="s">
        <v>130</v>
      </c>
      <c r="E227" s="22"/>
      <c r="F227" s="17">
        <f>IFERROR(SUMIFS(ENTRADAS[CANTIDAD],ENTRADAS[Columna1],INVENTARIO[[#This Row],[DESCRIPCION]],ENTRADAS[LOTE],INVENTARIO[[#This Row],[CATALOGO]]),"-")</f>
        <v>0</v>
      </c>
      <c r="G227" s="17">
        <f>IFERROR(SUMIFS(SALIDAS[CANTIDAD],SALIDAS[DESCRIPCION],INVENTARIO[[#This Row],[DESCRIPCION]],SALIDAS[LOTE],INVENTARIO[[#This Row],[CATALOGO]]),"-")</f>
        <v>0</v>
      </c>
      <c r="H227" s="18"/>
      <c r="I227" s="18"/>
      <c r="J227" s="17">
        <f>INVENTARIO[[#This Row],[ENTRADAS]]-INVENTARIO[[#This Row],[SALIDAS]]</f>
        <v>0</v>
      </c>
      <c r="K227" s="16"/>
      <c r="L227" s="19"/>
    </row>
    <row r="228" spans="1:12" x14ac:dyDescent="0.25">
      <c r="A228" s="28">
        <v>226</v>
      </c>
      <c r="B228" s="15"/>
      <c r="C228" s="15"/>
      <c r="D228" s="15" t="s">
        <v>60</v>
      </c>
      <c r="E228" s="22"/>
      <c r="F228" s="18">
        <f>IFERROR(SUMIFS(ENTRADAS[CANTIDAD],ENTRADAS[Columna1],INVENTARIO[[#This Row],[DESCRIPCION]],ENTRADAS[LOTE],INVENTARIO[[#This Row],[CATALOGO]]),"-")</f>
        <v>0</v>
      </c>
      <c r="G228" s="18">
        <f>IFERROR(SUMIFS(SALIDAS[CANTIDAD],SALIDAS[DESCRIPCION],INVENTARIO[[#This Row],[DESCRIPCION]],SALIDAS[LOTE],INVENTARIO[[#This Row],[CATALOGO]]),"-")</f>
        <v>0</v>
      </c>
      <c r="H228" s="18"/>
      <c r="I228" s="18"/>
      <c r="J228" s="18">
        <f>INVENTARIO[[#This Row],[ENTRADAS]]-INVENTARIO[[#This Row],[SALIDAS]]</f>
        <v>0</v>
      </c>
      <c r="K228" s="16"/>
      <c r="L228" s="19"/>
    </row>
    <row r="229" spans="1:12" x14ac:dyDescent="0.25">
      <c r="A229" s="28">
        <v>227</v>
      </c>
      <c r="B229" s="15"/>
      <c r="C229" s="13"/>
      <c r="D229" s="12" t="s">
        <v>207</v>
      </c>
      <c r="E229" s="22"/>
      <c r="F229" s="17">
        <f>IFERROR(SUMIFS(ENTRADAS[CANTIDAD],ENTRADAS[Columna1],INVENTARIO[[#This Row],[DESCRIPCION]],ENTRADAS[LOTE],INVENTARIO[[#This Row],[CATALOGO]]),"-")</f>
        <v>0</v>
      </c>
      <c r="G229" s="17">
        <f>IFERROR(SUMIFS(SALIDAS[CANTIDAD],SALIDAS[DESCRIPCION],INVENTARIO[[#This Row],[DESCRIPCION]],SALIDAS[LOTE],INVENTARIO[[#This Row],[CATALOGO]]),"-")</f>
        <v>0</v>
      </c>
      <c r="H229" s="18"/>
      <c r="I229" s="18"/>
      <c r="J229" s="17">
        <f>INVENTARIO[[#This Row],[ENTRADAS]]-INVENTARIO[[#This Row],[SALIDAS]]</f>
        <v>0</v>
      </c>
      <c r="K229" s="16"/>
      <c r="L229" s="19"/>
    </row>
    <row r="230" spans="1:12" x14ac:dyDescent="0.25">
      <c r="A230" s="28">
        <v>228</v>
      </c>
      <c r="B230" s="15"/>
      <c r="C230" s="15"/>
      <c r="D230" s="15" t="s">
        <v>192</v>
      </c>
      <c r="E230" s="22"/>
      <c r="F230" s="17">
        <f>IFERROR(SUMIFS(ENTRADAS[CANTIDAD],ENTRADAS[Columna1],INVENTARIO[[#This Row],[DESCRIPCION]],ENTRADAS[LOTE],INVENTARIO[[#This Row],[CATALOGO]]),"-")</f>
        <v>0</v>
      </c>
      <c r="G230" s="17">
        <f>IFERROR(SUMIFS(SALIDAS[CANTIDAD],SALIDAS[DESCRIPCION],INVENTARIO[[#This Row],[DESCRIPCION]],SALIDAS[LOTE],INVENTARIO[[#This Row],[CATALOGO]]),"-")</f>
        <v>0</v>
      </c>
      <c r="H230" s="18"/>
      <c r="I230" s="18"/>
      <c r="J230" s="17">
        <f>INVENTARIO[[#This Row],[ENTRADAS]]-INVENTARIO[[#This Row],[SALIDAS]]</f>
        <v>0</v>
      </c>
      <c r="K230" s="16"/>
      <c r="L230" s="19"/>
    </row>
    <row r="231" spans="1:12" x14ac:dyDescent="0.25">
      <c r="A231" s="28">
        <v>229</v>
      </c>
      <c r="B231" s="15"/>
      <c r="C231" s="13"/>
      <c r="D231" s="12" t="s">
        <v>53</v>
      </c>
      <c r="E231" s="22"/>
      <c r="F231" s="18">
        <f>IFERROR(SUMIFS(ENTRADAS[CANTIDAD],ENTRADAS[Columna1],INVENTARIO[[#This Row],[DESCRIPCION]],ENTRADAS[LOTE],INVENTARIO[[#This Row],[CATALOGO]]),"-")</f>
        <v>0</v>
      </c>
      <c r="G231" s="18">
        <f>IFERROR(SUMIFS(SALIDAS[CANTIDAD],SALIDAS[DESCRIPCION],INVENTARIO[[#This Row],[DESCRIPCION]],SALIDAS[LOTE],INVENTARIO[[#This Row],[CATALOGO]]),"-")</f>
        <v>0</v>
      </c>
      <c r="H231" s="18"/>
      <c r="I231" s="18"/>
      <c r="J231" s="18">
        <f>INVENTARIO[[#This Row],[ENTRADAS]]-INVENTARIO[[#This Row],[SALIDAS]]</f>
        <v>0</v>
      </c>
      <c r="K231" s="16"/>
      <c r="L231" s="19"/>
    </row>
    <row r="232" spans="1:12" x14ac:dyDescent="0.25">
      <c r="A232" s="28">
        <v>230</v>
      </c>
      <c r="B232" s="15"/>
      <c r="C232" s="15"/>
      <c r="D232" s="15" t="s">
        <v>28</v>
      </c>
      <c r="E232" s="22"/>
      <c r="F232" s="18">
        <f>IFERROR(SUMIFS(ENTRADAS[CANTIDAD],ENTRADAS[Columna1],INVENTARIO[[#This Row],[DESCRIPCION]],ENTRADAS[LOTE],INVENTARIO[[#This Row],[CATALOGO]]),"-")</f>
        <v>0</v>
      </c>
      <c r="G232" s="18">
        <f>IFERROR(SUMIFS(SALIDAS[CANTIDAD],SALIDAS[DESCRIPCION],INVENTARIO[[#This Row],[DESCRIPCION]],SALIDAS[LOTE],INVENTARIO[[#This Row],[CATALOGO]]),"-")</f>
        <v>0</v>
      </c>
      <c r="H232" s="18"/>
      <c r="I232" s="18"/>
      <c r="J232" s="18">
        <f>INVENTARIO[[#This Row],[ENTRADAS]]-INVENTARIO[[#This Row],[SALIDAS]]</f>
        <v>0</v>
      </c>
      <c r="K232" s="16"/>
      <c r="L232" s="19"/>
    </row>
    <row r="233" spans="1:12" x14ac:dyDescent="0.25">
      <c r="A233" s="28">
        <v>231</v>
      </c>
      <c r="B233" s="15"/>
      <c r="C233" s="13"/>
      <c r="D233" s="12" t="s">
        <v>174</v>
      </c>
      <c r="E233" s="22"/>
      <c r="F233" s="17">
        <f>IFERROR(SUMIFS(ENTRADAS[CANTIDAD],ENTRADAS[Columna1],INVENTARIO[[#This Row],[DESCRIPCION]],ENTRADAS[LOTE],INVENTARIO[[#This Row],[CATALOGO]]),"-")</f>
        <v>0</v>
      </c>
      <c r="G233" s="17">
        <f>IFERROR(SUMIFS(SALIDAS[CANTIDAD],SALIDAS[DESCRIPCION],INVENTARIO[[#This Row],[DESCRIPCION]],SALIDAS[LOTE],INVENTARIO[[#This Row],[CATALOGO]]),"-")</f>
        <v>0</v>
      </c>
      <c r="H233" s="18"/>
      <c r="I233" s="18"/>
      <c r="J233" s="17">
        <f>INVENTARIO[[#This Row],[ENTRADAS]]-INVENTARIO[[#This Row],[SALIDAS]]</f>
        <v>0</v>
      </c>
      <c r="K233" s="16"/>
      <c r="L233" s="19"/>
    </row>
    <row r="234" spans="1:12" x14ac:dyDescent="0.25">
      <c r="A234" s="28">
        <v>232</v>
      </c>
      <c r="B234" s="15"/>
      <c r="C234" s="15"/>
      <c r="D234" s="15" t="s">
        <v>215</v>
      </c>
      <c r="E234" s="22"/>
      <c r="F234" s="17">
        <f>IFERROR(SUMIFS(ENTRADAS[CANTIDAD],ENTRADAS[Columna1],INVENTARIO[[#This Row],[DESCRIPCION]],ENTRADAS[LOTE],INVENTARIO[[#This Row],[CATALOGO]]),"-")</f>
        <v>0</v>
      </c>
      <c r="G234" s="17">
        <f>IFERROR(SUMIFS(SALIDAS[CANTIDAD],SALIDAS[DESCRIPCION],INVENTARIO[[#This Row],[DESCRIPCION]],SALIDAS[LOTE],INVENTARIO[[#This Row],[CATALOGO]]),"-")</f>
        <v>0</v>
      </c>
      <c r="H234" s="18"/>
      <c r="I234" s="18"/>
      <c r="J234" s="17">
        <f>INVENTARIO[[#This Row],[ENTRADAS]]-INVENTARIO[[#This Row],[SALIDAS]]</f>
        <v>0</v>
      </c>
      <c r="K234" s="16"/>
      <c r="L234" s="19"/>
    </row>
    <row r="235" spans="1:12" x14ac:dyDescent="0.25">
      <c r="A235" s="28">
        <v>233</v>
      </c>
      <c r="B235" s="15"/>
      <c r="C235" s="13"/>
      <c r="D235" s="12" t="s">
        <v>182</v>
      </c>
      <c r="E235" s="22"/>
      <c r="F235" s="17">
        <f>IFERROR(SUMIFS(ENTRADAS[CANTIDAD],ENTRADAS[Columna1],INVENTARIO[[#This Row],[DESCRIPCION]],ENTRADAS[LOTE],INVENTARIO[[#This Row],[CATALOGO]]),"-")</f>
        <v>0</v>
      </c>
      <c r="G235" s="17">
        <f>IFERROR(SUMIFS(SALIDAS[CANTIDAD],SALIDAS[DESCRIPCION],INVENTARIO[[#This Row],[DESCRIPCION]],SALIDAS[LOTE],INVENTARIO[[#This Row],[CATALOGO]]),"-")</f>
        <v>0</v>
      </c>
      <c r="H235" s="18"/>
      <c r="I235" s="18"/>
      <c r="J235" s="17">
        <f>INVENTARIO[[#This Row],[ENTRADAS]]-INVENTARIO[[#This Row],[SALIDAS]]</f>
        <v>0</v>
      </c>
      <c r="K235" s="16"/>
      <c r="L235" s="19"/>
    </row>
    <row r="236" spans="1:12" x14ac:dyDescent="0.25">
      <c r="A236" s="28">
        <v>234</v>
      </c>
      <c r="B236" s="15"/>
      <c r="C236" s="15"/>
      <c r="D236" s="15" t="s">
        <v>175</v>
      </c>
      <c r="E236" s="22"/>
      <c r="F236" s="17">
        <f>IFERROR(SUMIFS(ENTRADAS[CANTIDAD],ENTRADAS[Columna1],INVENTARIO[[#This Row],[DESCRIPCION]],ENTRADAS[LOTE],INVENTARIO[[#This Row],[CATALOGO]]),"-")</f>
        <v>0</v>
      </c>
      <c r="G236" s="17">
        <f>IFERROR(SUMIFS(SALIDAS[CANTIDAD],SALIDAS[DESCRIPCION],INVENTARIO[[#This Row],[DESCRIPCION]],SALIDAS[LOTE],INVENTARIO[[#This Row],[CATALOGO]]),"-")</f>
        <v>0</v>
      </c>
      <c r="H236" s="18"/>
      <c r="I236" s="18"/>
      <c r="J236" s="17">
        <f>INVENTARIO[[#This Row],[ENTRADAS]]-INVENTARIO[[#This Row],[SALIDAS]]</f>
        <v>0</v>
      </c>
      <c r="K236" s="16"/>
      <c r="L236" s="19"/>
    </row>
    <row r="237" spans="1:12" x14ac:dyDescent="0.25">
      <c r="A237" s="28">
        <v>235</v>
      </c>
      <c r="B237" s="15"/>
      <c r="C237" s="13"/>
      <c r="D237" s="12" t="s">
        <v>157</v>
      </c>
      <c r="E237" s="22"/>
      <c r="F237" s="17">
        <f>IFERROR(SUMIFS(ENTRADAS[CANTIDAD],ENTRADAS[Columna1],INVENTARIO[[#This Row],[DESCRIPCION]],ENTRADAS[LOTE],INVENTARIO[[#This Row],[CATALOGO]]),"-")</f>
        <v>0</v>
      </c>
      <c r="G237" s="17">
        <f>IFERROR(SUMIFS(SALIDAS[CANTIDAD],SALIDAS[DESCRIPCION],INVENTARIO[[#This Row],[DESCRIPCION]],SALIDAS[LOTE],INVENTARIO[[#This Row],[CATALOGO]]),"-")</f>
        <v>0</v>
      </c>
      <c r="H237" s="18"/>
      <c r="I237" s="18"/>
      <c r="J237" s="17">
        <f>INVENTARIO[[#This Row],[ENTRADAS]]-INVENTARIO[[#This Row],[SALIDAS]]</f>
        <v>0</v>
      </c>
      <c r="K237" s="16"/>
      <c r="L237" s="19"/>
    </row>
    <row r="238" spans="1:12" x14ac:dyDescent="0.25">
      <c r="A238" s="28">
        <v>236</v>
      </c>
      <c r="B238" s="15"/>
      <c r="C238" s="15"/>
      <c r="D238" s="15" t="s">
        <v>173</v>
      </c>
      <c r="E238" s="22"/>
      <c r="F238" s="17">
        <f>IFERROR(SUMIFS(ENTRADAS[CANTIDAD],ENTRADAS[Columna1],INVENTARIO[[#This Row],[DESCRIPCION]],ENTRADAS[LOTE],INVENTARIO[[#This Row],[CATALOGO]]),"-")</f>
        <v>0</v>
      </c>
      <c r="G238" s="17">
        <f>IFERROR(SUMIFS(SALIDAS[CANTIDAD],SALIDAS[DESCRIPCION],INVENTARIO[[#This Row],[DESCRIPCION]],SALIDAS[LOTE],INVENTARIO[[#This Row],[CATALOGO]]),"-")</f>
        <v>0</v>
      </c>
      <c r="H238" s="18"/>
      <c r="I238" s="18"/>
      <c r="J238" s="17">
        <f>INVENTARIO[[#This Row],[ENTRADAS]]-INVENTARIO[[#This Row],[SALIDAS]]</f>
        <v>0</v>
      </c>
      <c r="K238" s="16"/>
      <c r="L238" s="19"/>
    </row>
    <row r="239" spans="1:12" x14ac:dyDescent="0.25">
      <c r="A239" s="28">
        <v>237</v>
      </c>
      <c r="B239" s="15"/>
      <c r="C239" s="13"/>
      <c r="D239" s="12" t="s">
        <v>167</v>
      </c>
      <c r="E239" s="22"/>
      <c r="F239" s="17">
        <f>IFERROR(SUMIFS(ENTRADAS[CANTIDAD],ENTRADAS[Columna1],INVENTARIO[[#This Row],[DESCRIPCION]],ENTRADAS[LOTE],INVENTARIO[[#This Row],[CATALOGO]]),"-")</f>
        <v>0</v>
      </c>
      <c r="G239" s="17">
        <f>IFERROR(SUMIFS(SALIDAS[CANTIDAD],SALIDAS[DESCRIPCION],INVENTARIO[[#This Row],[DESCRIPCION]],SALIDAS[LOTE],INVENTARIO[[#This Row],[CATALOGO]]),"-")</f>
        <v>0</v>
      </c>
      <c r="H239" s="18"/>
      <c r="I239" s="18"/>
      <c r="J239" s="17">
        <f>INVENTARIO[[#This Row],[ENTRADAS]]-INVENTARIO[[#This Row],[SALIDAS]]</f>
        <v>0</v>
      </c>
      <c r="K239" s="16"/>
      <c r="L239" s="19"/>
    </row>
    <row r="240" spans="1:12" x14ac:dyDescent="0.25">
      <c r="A240" s="28">
        <v>238</v>
      </c>
      <c r="B240" s="15"/>
      <c r="C240" s="15"/>
      <c r="D240" s="15" t="s">
        <v>177</v>
      </c>
      <c r="E240" s="22"/>
      <c r="F240" s="18">
        <f>IFERROR(SUMIFS(ENTRADAS[CANTIDAD],ENTRADAS[Columna1],INVENTARIO[[#This Row],[DESCRIPCION]],ENTRADAS[LOTE],INVENTARIO[[#This Row],[CATALOGO]]),"-")</f>
        <v>0</v>
      </c>
      <c r="G240" s="18">
        <f>IFERROR(SUMIFS(SALIDAS[CANTIDAD],SALIDAS[DESCRIPCION],INVENTARIO[[#This Row],[DESCRIPCION]],SALIDAS[LOTE],INVENTARIO[[#This Row],[CATALOGO]]),"-")</f>
        <v>0</v>
      </c>
      <c r="H240" s="18"/>
      <c r="I240" s="18"/>
      <c r="J240" s="18">
        <f>INVENTARIO[[#This Row],[ENTRADAS]]-INVENTARIO[[#This Row],[SALIDAS]]</f>
        <v>0</v>
      </c>
      <c r="K240" s="16"/>
      <c r="L240" s="19"/>
    </row>
    <row r="241" spans="1:12" x14ac:dyDescent="0.25">
      <c r="A241" s="28">
        <v>239</v>
      </c>
      <c r="B241" s="15"/>
      <c r="C241" s="13"/>
      <c r="D241" s="12" t="s">
        <v>219</v>
      </c>
      <c r="E241" s="22"/>
      <c r="F241" s="17">
        <f>IFERROR(SUMIFS(ENTRADAS[CANTIDAD],ENTRADAS[Columna1],INVENTARIO[[#This Row],[DESCRIPCION]],ENTRADAS[LOTE],INVENTARIO[[#This Row],[CATALOGO]]),"-")</f>
        <v>0</v>
      </c>
      <c r="G241" s="17">
        <f>IFERROR(SUMIFS(SALIDAS[CANTIDAD],SALIDAS[DESCRIPCION],INVENTARIO[[#This Row],[DESCRIPCION]],SALIDAS[LOTE],INVENTARIO[[#This Row],[CATALOGO]]),"-")</f>
        <v>0</v>
      </c>
      <c r="H241" s="18"/>
      <c r="I241" s="18"/>
      <c r="J241" s="17">
        <f>INVENTARIO[[#This Row],[ENTRADAS]]-INVENTARIO[[#This Row],[SALIDAS]]</f>
        <v>0</v>
      </c>
      <c r="K241" s="16"/>
      <c r="L241" s="19"/>
    </row>
    <row r="242" spans="1:12" x14ac:dyDescent="0.25">
      <c r="A242" s="28">
        <v>240</v>
      </c>
      <c r="B242" s="15"/>
      <c r="C242" s="15"/>
      <c r="D242" s="15" t="s">
        <v>257</v>
      </c>
      <c r="E242" s="22"/>
      <c r="F242" s="17">
        <f>IFERROR(SUMIFS(ENTRADAS[CANTIDAD],ENTRADAS[Columna1],INVENTARIO[[#This Row],[DESCRIPCION]],ENTRADAS[LOTE],INVENTARIO[[#This Row],[CATALOGO]]),"-")</f>
        <v>0</v>
      </c>
      <c r="G242" s="17">
        <f>IFERROR(SUMIFS(SALIDAS[CANTIDAD],SALIDAS[DESCRIPCION],INVENTARIO[[#This Row],[DESCRIPCION]],SALIDAS[LOTE],INVENTARIO[[#This Row],[CATALOGO]]),"-")</f>
        <v>0</v>
      </c>
      <c r="H242" s="18"/>
      <c r="I242" s="18"/>
      <c r="J242" s="17">
        <f>INVENTARIO[[#This Row],[ENTRADAS]]-INVENTARIO[[#This Row],[SALIDAS]]</f>
        <v>0</v>
      </c>
      <c r="K242" s="16"/>
      <c r="L242" s="19"/>
    </row>
    <row r="243" spans="1:12" x14ac:dyDescent="0.25">
      <c r="A243" s="28">
        <v>241</v>
      </c>
      <c r="B243" s="15"/>
      <c r="C243" s="13"/>
      <c r="D243" s="12" t="s">
        <v>256</v>
      </c>
      <c r="E243" s="22"/>
      <c r="F243" s="17">
        <f>IFERROR(SUMIFS(ENTRADAS[CANTIDAD],ENTRADAS[Columna1],INVENTARIO[[#This Row],[DESCRIPCION]],ENTRADAS[LOTE],INVENTARIO[[#This Row],[CATALOGO]]),"-")</f>
        <v>0</v>
      </c>
      <c r="G243" s="17">
        <f>IFERROR(SUMIFS(SALIDAS[CANTIDAD],SALIDAS[DESCRIPCION],INVENTARIO[[#This Row],[DESCRIPCION]],SALIDAS[LOTE],INVENTARIO[[#This Row],[CATALOGO]]),"-")</f>
        <v>0</v>
      </c>
      <c r="H243" s="18"/>
      <c r="I243" s="18"/>
      <c r="J243" s="17">
        <f>INVENTARIO[[#This Row],[ENTRADAS]]-INVENTARIO[[#This Row],[SALIDAS]]</f>
        <v>0</v>
      </c>
      <c r="K243" s="16"/>
      <c r="L243" s="19"/>
    </row>
    <row r="244" spans="1:12" x14ac:dyDescent="0.25">
      <c r="A244" s="28">
        <v>242</v>
      </c>
      <c r="B244" s="15"/>
      <c r="C244" s="15"/>
      <c r="D244" s="15" t="s">
        <v>258</v>
      </c>
      <c r="E244" s="22"/>
      <c r="F244" s="17">
        <f>IFERROR(SUMIFS(ENTRADAS[CANTIDAD],ENTRADAS[Columna1],INVENTARIO[[#This Row],[DESCRIPCION]],ENTRADAS[LOTE],INVENTARIO[[#This Row],[CATALOGO]]),"-")</f>
        <v>0</v>
      </c>
      <c r="G244" s="17">
        <f>IFERROR(SUMIFS(SALIDAS[CANTIDAD],SALIDAS[DESCRIPCION],INVENTARIO[[#This Row],[DESCRIPCION]],SALIDAS[LOTE],INVENTARIO[[#This Row],[CATALOGO]]),"-")</f>
        <v>0</v>
      </c>
      <c r="H244" s="18"/>
      <c r="I244" s="18"/>
      <c r="J244" s="17">
        <f>INVENTARIO[[#This Row],[ENTRADAS]]-INVENTARIO[[#This Row],[SALIDAS]]</f>
        <v>0</v>
      </c>
      <c r="K244" s="16"/>
      <c r="L244" s="19"/>
    </row>
    <row r="245" spans="1:12" x14ac:dyDescent="0.25">
      <c r="A245" s="28">
        <v>243</v>
      </c>
      <c r="B245" s="15"/>
      <c r="C245" s="13"/>
      <c r="D245" s="12" t="s">
        <v>259</v>
      </c>
      <c r="E245" s="22"/>
      <c r="F245" s="17">
        <f>IFERROR(SUMIFS(ENTRADAS[CANTIDAD],ENTRADAS[Columna1],INVENTARIO[[#This Row],[DESCRIPCION]],ENTRADAS[LOTE],INVENTARIO[[#This Row],[CATALOGO]]),"-")</f>
        <v>0</v>
      </c>
      <c r="G245" s="17">
        <f>IFERROR(SUMIFS(SALIDAS[CANTIDAD],SALIDAS[DESCRIPCION],INVENTARIO[[#This Row],[DESCRIPCION]],SALIDAS[LOTE],INVENTARIO[[#This Row],[CATALOGO]]),"-")</f>
        <v>0</v>
      </c>
      <c r="H245" s="18"/>
      <c r="I245" s="18"/>
      <c r="J245" s="17">
        <f>INVENTARIO[[#This Row],[ENTRADAS]]-INVENTARIO[[#This Row],[SALIDAS]]</f>
        <v>0</v>
      </c>
      <c r="K245" s="16"/>
      <c r="L245" s="19"/>
    </row>
    <row r="246" spans="1:12" x14ac:dyDescent="0.25">
      <c r="A246" s="28">
        <v>244</v>
      </c>
      <c r="B246" s="15"/>
      <c r="C246" s="15"/>
      <c r="D246" s="15" t="s">
        <v>260</v>
      </c>
      <c r="E246" s="22"/>
      <c r="F246" s="17">
        <f>IFERROR(SUMIFS(ENTRADAS[CANTIDAD],ENTRADAS[Columna1],INVENTARIO[[#This Row],[DESCRIPCION]],ENTRADAS[LOTE],INVENTARIO[[#This Row],[CATALOGO]]),"-")</f>
        <v>0</v>
      </c>
      <c r="G246" s="17">
        <f>IFERROR(SUMIFS(SALIDAS[CANTIDAD],SALIDAS[DESCRIPCION],INVENTARIO[[#This Row],[DESCRIPCION]],SALIDAS[LOTE],INVENTARIO[[#This Row],[CATALOGO]]),"-")</f>
        <v>0</v>
      </c>
      <c r="H246" s="18"/>
      <c r="I246" s="18"/>
      <c r="J246" s="17">
        <f>INVENTARIO[[#This Row],[ENTRADAS]]-INVENTARIO[[#This Row],[SALIDAS]]</f>
        <v>0</v>
      </c>
      <c r="K246" s="16"/>
      <c r="L246" s="19"/>
    </row>
    <row r="247" spans="1:12" x14ac:dyDescent="0.25">
      <c r="A247" s="28">
        <v>245</v>
      </c>
      <c r="B247" s="15"/>
      <c r="C247" s="13"/>
      <c r="D247" s="12" t="s">
        <v>261</v>
      </c>
      <c r="E247" s="22"/>
      <c r="F247" s="17">
        <f>IFERROR(SUMIFS(ENTRADAS[CANTIDAD],ENTRADAS[Columna1],INVENTARIO[[#This Row],[DESCRIPCION]],ENTRADAS[LOTE],INVENTARIO[[#This Row],[CATALOGO]]),"-")</f>
        <v>0</v>
      </c>
      <c r="G247" s="17">
        <f>IFERROR(SUMIFS(SALIDAS[CANTIDAD],SALIDAS[DESCRIPCION],INVENTARIO[[#This Row],[DESCRIPCION]],SALIDAS[LOTE],INVENTARIO[[#This Row],[CATALOGO]]),"-")</f>
        <v>0</v>
      </c>
      <c r="H247" s="18"/>
      <c r="I247" s="18"/>
      <c r="J247" s="17">
        <f>INVENTARIO[[#This Row],[ENTRADAS]]-INVENTARIO[[#This Row],[SALIDAS]]</f>
        <v>0</v>
      </c>
      <c r="K247" s="16"/>
      <c r="L247" s="19"/>
    </row>
    <row r="248" spans="1:12" x14ac:dyDescent="0.25">
      <c r="A248" s="28">
        <v>246</v>
      </c>
      <c r="B248" s="15"/>
      <c r="C248" s="15"/>
      <c r="D248" s="15" t="s">
        <v>262</v>
      </c>
      <c r="E248" s="22"/>
      <c r="F248" s="17">
        <f>IFERROR(SUMIFS(ENTRADAS[CANTIDAD],ENTRADAS[Columna1],INVENTARIO[[#This Row],[DESCRIPCION]],ENTRADAS[LOTE],INVENTARIO[[#This Row],[CATALOGO]]),"-")</f>
        <v>0</v>
      </c>
      <c r="G248" s="17">
        <f>IFERROR(SUMIFS(SALIDAS[CANTIDAD],SALIDAS[DESCRIPCION],INVENTARIO[[#This Row],[DESCRIPCION]],SALIDAS[LOTE],INVENTARIO[[#This Row],[CATALOGO]]),"-")</f>
        <v>0</v>
      </c>
      <c r="H248" s="18"/>
      <c r="I248" s="18"/>
      <c r="J248" s="17">
        <f>INVENTARIO[[#This Row],[ENTRADAS]]-INVENTARIO[[#This Row],[SALIDAS]]</f>
        <v>0</v>
      </c>
      <c r="K248" s="16"/>
      <c r="L248" s="19"/>
    </row>
    <row r="249" spans="1:12" x14ac:dyDescent="0.25">
      <c r="A249" s="28">
        <v>247</v>
      </c>
      <c r="B249" s="15"/>
      <c r="C249" s="13"/>
      <c r="D249" s="12" t="s">
        <v>263</v>
      </c>
      <c r="E249" s="22"/>
      <c r="F249" s="17">
        <f>IFERROR(SUMIFS(ENTRADAS[CANTIDAD],ENTRADAS[Columna1],INVENTARIO[[#This Row],[DESCRIPCION]],ENTRADAS[LOTE],INVENTARIO[[#This Row],[CATALOGO]]),"-")</f>
        <v>0</v>
      </c>
      <c r="G249" s="17">
        <f>IFERROR(SUMIFS(SALIDAS[CANTIDAD],SALIDAS[DESCRIPCION],INVENTARIO[[#This Row],[DESCRIPCION]],SALIDAS[LOTE],INVENTARIO[[#This Row],[CATALOGO]]),"-")</f>
        <v>0</v>
      </c>
      <c r="H249" s="18"/>
      <c r="I249" s="18"/>
      <c r="J249" s="17">
        <f>INVENTARIO[[#This Row],[ENTRADAS]]-INVENTARIO[[#This Row],[SALIDAS]]</f>
        <v>0</v>
      </c>
      <c r="K249" s="16"/>
      <c r="L249" s="19"/>
    </row>
    <row r="250" spans="1:12" x14ac:dyDescent="0.25">
      <c r="A250" s="28">
        <v>248</v>
      </c>
      <c r="B250" s="15"/>
      <c r="C250" s="15"/>
      <c r="D250" s="15" t="s">
        <v>264</v>
      </c>
      <c r="E250" s="22"/>
      <c r="F250" s="17">
        <f>IFERROR(SUMIFS(ENTRADAS[CANTIDAD],ENTRADAS[Columna1],INVENTARIO[[#This Row],[DESCRIPCION]],ENTRADAS[LOTE],INVENTARIO[[#This Row],[CATALOGO]]),"-")</f>
        <v>0</v>
      </c>
      <c r="G250" s="17">
        <f>IFERROR(SUMIFS(SALIDAS[CANTIDAD],SALIDAS[DESCRIPCION],INVENTARIO[[#This Row],[DESCRIPCION]],SALIDAS[LOTE],INVENTARIO[[#This Row],[CATALOGO]]),"-")</f>
        <v>0</v>
      </c>
      <c r="H250" s="18"/>
      <c r="I250" s="18"/>
      <c r="J250" s="17">
        <f>INVENTARIO[[#This Row],[ENTRADAS]]-INVENTARIO[[#This Row],[SALIDAS]]</f>
        <v>0</v>
      </c>
      <c r="K250" s="16"/>
      <c r="L250" s="19"/>
    </row>
    <row r="251" spans="1:12" x14ac:dyDescent="0.25">
      <c r="A251" s="28">
        <v>249</v>
      </c>
      <c r="B251" s="15"/>
      <c r="C251" s="13"/>
      <c r="D251" s="12" t="s">
        <v>265</v>
      </c>
      <c r="E251" s="22"/>
      <c r="F251" s="17">
        <f>IFERROR(SUMIFS(ENTRADAS[CANTIDAD],ENTRADAS[Columna1],INVENTARIO[[#This Row],[DESCRIPCION]],ENTRADAS[LOTE],INVENTARIO[[#This Row],[CATALOGO]]),"-")</f>
        <v>0</v>
      </c>
      <c r="G251" s="17">
        <f>IFERROR(SUMIFS(SALIDAS[CANTIDAD],SALIDAS[DESCRIPCION],INVENTARIO[[#This Row],[DESCRIPCION]],SALIDAS[LOTE],INVENTARIO[[#This Row],[CATALOGO]]),"-")</f>
        <v>0</v>
      </c>
      <c r="H251" s="18"/>
      <c r="I251" s="18"/>
      <c r="J251" s="17">
        <f>INVENTARIO[[#This Row],[ENTRADAS]]-INVENTARIO[[#This Row],[SALIDAS]]</f>
        <v>0</v>
      </c>
      <c r="K251" s="16"/>
      <c r="L251" s="19"/>
    </row>
    <row r="252" spans="1:12" x14ac:dyDescent="0.25">
      <c r="A252" s="28">
        <v>250</v>
      </c>
      <c r="B252" s="15"/>
      <c r="C252" s="15"/>
      <c r="D252" s="15" t="s">
        <v>266</v>
      </c>
      <c r="E252" s="22"/>
      <c r="F252" s="17">
        <f>IFERROR(SUMIFS(ENTRADAS[CANTIDAD],ENTRADAS[Columna1],INVENTARIO[[#This Row],[DESCRIPCION]],ENTRADAS[LOTE],INVENTARIO[[#This Row],[CATALOGO]]),"-")</f>
        <v>0</v>
      </c>
      <c r="G252" s="17">
        <f>IFERROR(SUMIFS(SALIDAS[CANTIDAD],SALIDAS[DESCRIPCION],INVENTARIO[[#This Row],[DESCRIPCION]],SALIDAS[LOTE],INVENTARIO[[#This Row],[CATALOGO]]),"-")</f>
        <v>0</v>
      </c>
      <c r="H252" s="18"/>
      <c r="I252" s="18"/>
      <c r="J252" s="17">
        <f>INVENTARIO[[#This Row],[ENTRADAS]]-INVENTARIO[[#This Row],[SALIDAS]]</f>
        <v>0</v>
      </c>
      <c r="K252" s="16"/>
      <c r="L252" s="19"/>
    </row>
    <row r="253" spans="1:12" x14ac:dyDescent="0.25">
      <c r="A253" s="28">
        <v>251</v>
      </c>
      <c r="B253" s="15"/>
      <c r="C253" s="13"/>
      <c r="D253" s="12" t="s">
        <v>267</v>
      </c>
      <c r="E253" s="22"/>
      <c r="F253" s="17">
        <f>IFERROR(SUMIFS(ENTRADAS[CANTIDAD],ENTRADAS[Columna1],INVENTARIO[[#This Row],[DESCRIPCION]],ENTRADAS[LOTE],INVENTARIO[[#This Row],[CATALOGO]]),"-")</f>
        <v>0</v>
      </c>
      <c r="G253" s="17">
        <f>IFERROR(SUMIFS(SALIDAS[CANTIDAD],SALIDAS[DESCRIPCION],INVENTARIO[[#This Row],[DESCRIPCION]],SALIDAS[LOTE],INVENTARIO[[#This Row],[CATALOGO]]),"-")</f>
        <v>0</v>
      </c>
      <c r="H253" s="18"/>
      <c r="I253" s="18"/>
      <c r="J253" s="17">
        <f>INVENTARIO[[#This Row],[ENTRADAS]]-INVENTARIO[[#This Row],[SALIDAS]]</f>
        <v>0</v>
      </c>
      <c r="K253" s="16"/>
      <c r="L253" s="19"/>
    </row>
    <row r="254" spans="1:12" x14ac:dyDescent="0.25">
      <c r="A254" s="28">
        <v>252</v>
      </c>
      <c r="B254" s="15"/>
      <c r="C254" s="15"/>
      <c r="D254" s="15" t="s">
        <v>268</v>
      </c>
      <c r="E254" s="22"/>
      <c r="F254" s="17">
        <f>IFERROR(SUMIFS(ENTRADAS[CANTIDAD],ENTRADAS[Columna1],INVENTARIO[[#This Row],[DESCRIPCION]],ENTRADAS[LOTE],INVENTARIO[[#This Row],[CATALOGO]]),"-")</f>
        <v>0</v>
      </c>
      <c r="G254" s="17">
        <f>IFERROR(SUMIFS(SALIDAS[CANTIDAD],SALIDAS[DESCRIPCION],INVENTARIO[[#This Row],[DESCRIPCION]],SALIDAS[LOTE],INVENTARIO[[#This Row],[CATALOGO]]),"-")</f>
        <v>0</v>
      </c>
      <c r="H254" s="18"/>
      <c r="I254" s="18"/>
      <c r="J254" s="17">
        <f>INVENTARIO[[#This Row],[ENTRADAS]]-INVENTARIO[[#This Row],[SALIDAS]]</f>
        <v>0</v>
      </c>
      <c r="K254" s="16"/>
      <c r="L254" s="19"/>
    </row>
    <row r="255" spans="1:12" x14ac:dyDescent="0.25">
      <c r="A255" s="28">
        <v>253</v>
      </c>
      <c r="B255" s="15"/>
      <c r="C255" s="13"/>
      <c r="D255" s="12" t="s">
        <v>269</v>
      </c>
      <c r="E255" s="22"/>
      <c r="F255" s="17">
        <f>IFERROR(SUMIFS(ENTRADAS[CANTIDAD],ENTRADAS[Columna1],INVENTARIO[[#This Row],[DESCRIPCION]],ENTRADAS[LOTE],INVENTARIO[[#This Row],[CATALOGO]]),"-")</f>
        <v>0</v>
      </c>
      <c r="G255" s="17">
        <f>IFERROR(SUMIFS(SALIDAS[CANTIDAD],SALIDAS[DESCRIPCION],INVENTARIO[[#This Row],[DESCRIPCION]],SALIDAS[LOTE],INVENTARIO[[#This Row],[CATALOGO]]),"-")</f>
        <v>0</v>
      </c>
      <c r="H255" s="18"/>
      <c r="I255" s="18"/>
      <c r="J255" s="17">
        <f>INVENTARIO[[#This Row],[ENTRADAS]]-INVENTARIO[[#This Row],[SALIDAS]]</f>
        <v>0</v>
      </c>
      <c r="K255" s="16"/>
      <c r="L255" s="19"/>
    </row>
    <row r="256" spans="1:12" x14ac:dyDescent="0.25">
      <c r="A256" s="28">
        <v>254</v>
      </c>
      <c r="B256" s="15"/>
      <c r="C256" s="15"/>
      <c r="D256" s="15" t="s">
        <v>270</v>
      </c>
      <c r="E256" s="22"/>
      <c r="F256" s="17">
        <f>IFERROR(SUMIFS(ENTRADAS[CANTIDAD],ENTRADAS[Columna1],INVENTARIO[[#This Row],[DESCRIPCION]],ENTRADAS[LOTE],INVENTARIO[[#This Row],[CATALOGO]]),"-")</f>
        <v>0</v>
      </c>
      <c r="G256" s="17">
        <f>IFERROR(SUMIFS(SALIDAS[CANTIDAD],SALIDAS[DESCRIPCION],INVENTARIO[[#This Row],[DESCRIPCION]],SALIDAS[LOTE],INVENTARIO[[#This Row],[CATALOGO]]),"-")</f>
        <v>0</v>
      </c>
      <c r="H256" s="18"/>
      <c r="I256" s="18"/>
      <c r="J256" s="17">
        <f>INVENTARIO[[#This Row],[ENTRADAS]]-INVENTARIO[[#This Row],[SALIDAS]]</f>
        <v>0</v>
      </c>
      <c r="K256" s="16"/>
      <c r="L256" s="19"/>
    </row>
    <row r="257" spans="1:12" x14ac:dyDescent="0.25">
      <c r="A257" s="28">
        <v>255</v>
      </c>
      <c r="B257" s="15"/>
      <c r="C257" s="13"/>
      <c r="D257" s="12" t="s">
        <v>271</v>
      </c>
      <c r="E257" s="22"/>
      <c r="F257" s="17">
        <f>IFERROR(SUMIFS(ENTRADAS[CANTIDAD],ENTRADAS[Columna1],INVENTARIO[[#This Row],[DESCRIPCION]],ENTRADAS[LOTE],INVENTARIO[[#This Row],[CATALOGO]]),"-")</f>
        <v>0</v>
      </c>
      <c r="G257" s="17">
        <f>IFERROR(SUMIFS(SALIDAS[CANTIDAD],SALIDAS[DESCRIPCION],INVENTARIO[[#This Row],[DESCRIPCION]],SALIDAS[LOTE],INVENTARIO[[#This Row],[CATALOGO]]),"-")</f>
        <v>0</v>
      </c>
      <c r="H257" s="18"/>
      <c r="I257" s="18"/>
      <c r="J257" s="17">
        <f>INVENTARIO[[#This Row],[ENTRADAS]]-INVENTARIO[[#This Row],[SALIDAS]]</f>
        <v>0</v>
      </c>
      <c r="K257" s="16"/>
      <c r="L257" s="19"/>
    </row>
    <row r="258" spans="1:12" x14ac:dyDescent="0.25">
      <c r="A258" s="28">
        <v>256</v>
      </c>
      <c r="B258" s="15"/>
      <c r="C258" s="15"/>
      <c r="D258" s="15" t="s">
        <v>272</v>
      </c>
      <c r="E258" s="22"/>
      <c r="F258" s="17">
        <f>IFERROR(SUMIFS(ENTRADAS[CANTIDAD],ENTRADAS[Columna1],INVENTARIO[[#This Row],[DESCRIPCION]],ENTRADAS[LOTE],INVENTARIO[[#This Row],[CATALOGO]]),"-")</f>
        <v>0</v>
      </c>
      <c r="G258" s="17">
        <f>IFERROR(SUMIFS(SALIDAS[CANTIDAD],SALIDAS[DESCRIPCION],INVENTARIO[[#This Row],[DESCRIPCION]],SALIDAS[LOTE],INVENTARIO[[#This Row],[CATALOGO]]),"-")</f>
        <v>0</v>
      </c>
      <c r="H258" s="18"/>
      <c r="I258" s="18"/>
      <c r="J258" s="17">
        <f>INVENTARIO[[#This Row],[ENTRADAS]]-INVENTARIO[[#This Row],[SALIDAS]]</f>
        <v>0</v>
      </c>
      <c r="K258" s="16"/>
      <c r="L258" s="19"/>
    </row>
    <row r="259" spans="1:12" x14ac:dyDescent="0.25">
      <c r="A259" s="28">
        <v>257</v>
      </c>
      <c r="B259" s="15"/>
      <c r="C259" s="13"/>
      <c r="D259" s="12" t="s">
        <v>273</v>
      </c>
      <c r="E259" s="22"/>
      <c r="F259" s="17">
        <f>IFERROR(SUMIFS(ENTRADAS[CANTIDAD],ENTRADAS[Columna1],INVENTARIO[[#This Row],[DESCRIPCION]],ENTRADAS[LOTE],INVENTARIO[[#This Row],[CATALOGO]]),"-")</f>
        <v>0</v>
      </c>
      <c r="G259" s="17">
        <f>IFERROR(SUMIFS(SALIDAS[CANTIDAD],SALIDAS[DESCRIPCION],INVENTARIO[[#This Row],[DESCRIPCION]],SALIDAS[LOTE],INVENTARIO[[#This Row],[CATALOGO]]),"-")</f>
        <v>0</v>
      </c>
      <c r="H259" s="18"/>
      <c r="I259" s="18"/>
      <c r="J259" s="17">
        <f>INVENTARIO[[#This Row],[ENTRADAS]]-INVENTARIO[[#This Row],[SALIDAS]]</f>
        <v>0</v>
      </c>
      <c r="K259" s="16"/>
      <c r="L259" s="19"/>
    </row>
    <row r="260" spans="1:12" x14ac:dyDescent="0.25">
      <c r="A260" s="28">
        <v>258</v>
      </c>
      <c r="B260" s="15"/>
      <c r="C260" s="15"/>
      <c r="D260" s="15" t="s">
        <v>274</v>
      </c>
      <c r="E260" s="22"/>
      <c r="F260" s="17">
        <f>IFERROR(SUMIFS(ENTRADAS[CANTIDAD],ENTRADAS[Columna1],INVENTARIO[[#This Row],[DESCRIPCION]],ENTRADAS[LOTE],INVENTARIO[[#This Row],[CATALOGO]]),"-")</f>
        <v>0</v>
      </c>
      <c r="G260" s="17">
        <f>IFERROR(SUMIFS(SALIDAS[CANTIDAD],SALIDAS[DESCRIPCION],INVENTARIO[[#This Row],[DESCRIPCION]],SALIDAS[LOTE],INVENTARIO[[#This Row],[CATALOGO]]),"-")</f>
        <v>0</v>
      </c>
      <c r="H260" s="18"/>
      <c r="I260" s="18"/>
      <c r="J260" s="17">
        <f>INVENTARIO[[#This Row],[ENTRADAS]]-INVENTARIO[[#This Row],[SALIDAS]]</f>
        <v>0</v>
      </c>
      <c r="K260" s="16"/>
      <c r="L260" s="19"/>
    </row>
    <row r="261" spans="1:12" x14ac:dyDescent="0.25">
      <c r="A261" s="28">
        <v>259</v>
      </c>
      <c r="B261" s="15"/>
      <c r="C261" s="13"/>
      <c r="D261" s="12" t="s">
        <v>275</v>
      </c>
      <c r="E261" s="22"/>
      <c r="F261" s="17">
        <f>IFERROR(SUMIFS(ENTRADAS[CANTIDAD],ENTRADAS[Columna1],INVENTARIO[[#This Row],[DESCRIPCION]],ENTRADAS[LOTE],INVENTARIO[[#This Row],[CATALOGO]]),"-")</f>
        <v>0</v>
      </c>
      <c r="G261" s="17">
        <f>IFERROR(SUMIFS(SALIDAS[CANTIDAD],SALIDAS[DESCRIPCION],INVENTARIO[[#This Row],[DESCRIPCION]],SALIDAS[LOTE],INVENTARIO[[#This Row],[CATALOGO]]),"-")</f>
        <v>0</v>
      </c>
      <c r="H261" s="18"/>
      <c r="I261" s="18"/>
      <c r="J261" s="17">
        <f>INVENTARIO[[#This Row],[ENTRADAS]]-INVENTARIO[[#This Row],[SALIDAS]]</f>
        <v>0</v>
      </c>
      <c r="K261" s="16"/>
      <c r="L261" s="19"/>
    </row>
    <row r="262" spans="1:12" x14ac:dyDescent="0.25">
      <c r="A262" s="28">
        <v>260</v>
      </c>
      <c r="B262" s="15"/>
      <c r="C262" s="15"/>
      <c r="D262" s="15" t="s">
        <v>276</v>
      </c>
      <c r="E262" s="22"/>
      <c r="F262" s="17">
        <f>IFERROR(SUMIFS(ENTRADAS[CANTIDAD],ENTRADAS[Columna1],INVENTARIO[[#This Row],[DESCRIPCION]],ENTRADAS[LOTE],INVENTARIO[[#This Row],[CATALOGO]]),"-")</f>
        <v>0</v>
      </c>
      <c r="G262" s="17">
        <f>IFERROR(SUMIFS(SALIDAS[CANTIDAD],SALIDAS[DESCRIPCION],INVENTARIO[[#This Row],[DESCRIPCION]],SALIDAS[LOTE],INVENTARIO[[#This Row],[CATALOGO]]),"-")</f>
        <v>0</v>
      </c>
      <c r="H262" s="18"/>
      <c r="I262" s="18"/>
      <c r="J262" s="17">
        <f>INVENTARIO[[#This Row],[ENTRADAS]]-INVENTARIO[[#This Row],[SALIDAS]]</f>
        <v>0</v>
      </c>
      <c r="K262" s="16"/>
      <c r="L262" s="19"/>
    </row>
    <row r="263" spans="1:12" x14ac:dyDescent="0.25">
      <c r="A263" s="28">
        <v>261</v>
      </c>
      <c r="B263" s="15"/>
      <c r="C263" s="13"/>
      <c r="D263" s="12" t="s">
        <v>277</v>
      </c>
      <c r="E263" s="22"/>
      <c r="F263" s="17">
        <f>IFERROR(SUMIFS(ENTRADAS[CANTIDAD],ENTRADAS[Columna1],INVENTARIO[[#This Row],[DESCRIPCION]],ENTRADAS[LOTE],INVENTARIO[[#This Row],[CATALOGO]]),"-")</f>
        <v>0</v>
      </c>
      <c r="G263" s="17">
        <f>IFERROR(SUMIFS(SALIDAS[CANTIDAD],SALIDAS[DESCRIPCION],INVENTARIO[[#This Row],[DESCRIPCION]],SALIDAS[LOTE],INVENTARIO[[#This Row],[CATALOGO]]),"-")</f>
        <v>0</v>
      </c>
      <c r="H263" s="18"/>
      <c r="I263" s="18"/>
      <c r="J263" s="17">
        <f>INVENTARIO[[#This Row],[ENTRADAS]]-INVENTARIO[[#This Row],[SALIDAS]]</f>
        <v>0</v>
      </c>
      <c r="K263" s="16"/>
      <c r="L263" s="19"/>
    </row>
    <row r="264" spans="1:12" x14ac:dyDescent="0.25">
      <c r="A264" s="28">
        <v>262</v>
      </c>
      <c r="B264" s="15"/>
      <c r="C264" s="15"/>
      <c r="D264" s="15" t="s">
        <v>278</v>
      </c>
      <c r="E264" s="22"/>
      <c r="F264" s="17">
        <f>IFERROR(SUMIFS(ENTRADAS[CANTIDAD],ENTRADAS[Columna1],INVENTARIO[[#This Row],[DESCRIPCION]],ENTRADAS[LOTE],INVENTARIO[[#This Row],[CATALOGO]]),"-")</f>
        <v>0</v>
      </c>
      <c r="G264" s="17">
        <f>IFERROR(SUMIFS(SALIDAS[CANTIDAD],SALIDAS[DESCRIPCION],INVENTARIO[[#This Row],[DESCRIPCION]],SALIDAS[LOTE],INVENTARIO[[#This Row],[CATALOGO]]),"-")</f>
        <v>0</v>
      </c>
      <c r="H264" s="18"/>
      <c r="I264" s="18"/>
      <c r="J264" s="17">
        <f>INVENTARIO[[#This Row],[ENTRADAS]]-INVENTARIO[[#This Row],[SALIDAS]]</f>
        <v>0</v>
      </c>
      <c r="K264" s="16"/>
      <c r="L264" s="19"/>
    </row>
    <row r="265" spans="1:12" x14ac:dyDescent="0.25">
      <c r="A265" s="28">
        <v>263</v>
      </c>
      <c r="B265" s="15"/>
      <c r="C265" s="13"/>
      <c r="D265" s="12" t="s">
        <v>279</v>
      </c>
      <c r="E265" s="22"/>
      <c r="F265" s="17">
        <f>IFERROR(SUMIFS(ENTRADAS[CANTIDAD],ENTRADAS[Columna1],INVENTARIO[[#This Row],[DESCRIPCION]],ENTRADAS[LOTE],INVENTARIO[[#This Row],[CATALOGO]]),"-")</f>
        <v>0</v>
      </c>
      <c r="G265" s="17">
        <f>IFERROR(SUMIFS(SALIDAS[CANTIDAD],SALIDAS[DESCRIPCION],INVENTARIO[[#This Row],[DESCRIPCION]],SALIDAS[LOTE],INVENTARIO[[#This Row],[CATALOGO]]),"-")</f>
        <v>0</v>
      </c>
      <c r="H265" s="18"/>
      <c r="I265" s="18"/>
      <c r="J265" s="17">
        <f>INVENTARIO[[#This Row],[ENTRADAS]]-INVENTARIO[[#This Row],[SALIDAS]]</f>
        <v>0</v>
      </c>
      <c r="K265" s="16"/>
      <c r="L265" s="19"/>
    </row>
    <row r="266" spans="1:12" x14ac:dyDescent="0.25">
      <c r="A266" s="28">
        <v>264</v>
      </c>
      <c r="B266" s="15"/>
      <c r="C266" s="15"/>
      <c r="D266" s="15" t="s">
        <v>280</v>
      </c>
      <c r="E266" s="22" t="s">
        <v>308</v>
      </c>
      <c r="F266" s="17">
        <f>IFERROR(SUMIFS(ENTRADAS[CANTIDAD],ENTRADAS[Columna1],INVENTARIO[[#This Row],[DESCRIPCION]],ENTRADAS[LOTE],INVENTARIO[[#This Row],[CATALOGO]]),"-")</f>
        <v>0</v>
      </c>
      <c r="G266" s="17">
        <f>IFERROR(SUMIFS(SALIDAS[CANTIDAD],SALIDAS[DESCRIPCION],INVENTARIO[[#This Row],[DESCRIPCION]],SALIDAS[LOTE],INVENTARIO[[#This Row],[CATALOGO]]),"-")</f>
        <v>0</v>
      </c>
      <c r="H266" s="18"/>
      <c r="I266" s="18"/>
      <c r="J266" s="17">
        <f>INVENTARIO[[#This Row],[ENTRADAS]]-INVENTARIO[[#This Row],[SALIDAS]]</f>
        <v>0</v>
      </c>
      <c r="K266" s="16"/>
      <c r="L266" s="19"/>
    </row>
    <row r="267" spans="1:12" x14ac:dyDescent="0.25">
      <c r="A267" s="28">
        <v>265</v>
      </c>
      <c r="B267" s="15"/>
      <c r="C267" s="13"/>
      <c r="D267" s="12" t="s">
        <v>281</v>
      </c>
      <c r="E267" s="22" t="s">
        <v>307</v>
      </c>
      <c r="F267" s="17">
        <f>IFERROR(SUMIFS(ENTRADAS[CANTIDAD],ENTRADAS[Columna1],INVENTARIO[[#This Row],[DESCRIPCION]],ENTRADAS[LOTE],INVENTARIO[[#This Row],[CATALOGO]]),"-")</f>
        <v>0</v>
      </c>
      <c r="G267" s="17">
        <f>IFERROR(SUMIFS(SALIDAS[CANTIDAD],SALIDAS[DESCRIPCION],INVENTARIO[[#This Row],[DESCRIPCION]],SALIDAS[LOTE],INVENTARIO[[#This Row],[CATALOGO]]),"-")</f>
        <v>0</v>
      </c>
      <c r="H267" s="18"/>
      <c r="I267" s="18"/>
      <c r="J267" s="17">
        <f>INVENTARIO[[#This Row],[ENTRADAS]]-INVENTARIO[[#This Row],[SALIDAS]]</f>
        <v>0</v>
      </c>
      <c r="K267" s="16"/>
      <c r="L267" s="19"/>
    </row>
    <row r="268" spans="1:12" x14ac:dyDescent="0.25">
      <c r="A268" s="28">
        <v>266</v>
      </c>
      <c r="B268" s="15"/>
      <c r="C268" s="15"/>
      <c r="D268" s="15" t="s">
        <v>305</v>
      </c>
      <c r="E268" s="22" t="s">
        <v>306</v>
      </c>
      <c r="F268" s="17">
        <f>IFERROR(SUMIFS(ENTRADAS[CANTIDAD],ENTRADAS[Columna1],INVENTARIO[[#This Row],[DESCRIPCION]],ENTRADAS[LOTE],INVENTARIO[[#This Row],[CATALOGO]]),"-")</f>
        <v>0</v>
      </c>
      <c r="G268" s="17">
        <f>IFERROR(SUMIFS(SALIDAS[CANTIDAD],SALIDAS[DESCRIPCION],INVENTARIO[[#This Row],[DESCRIPCION]],SALIDAS[LOTE],INVENTARIO[[#This Row],[CATALOGO]]),"-")</f>
        <v>0</v>
      </c>
      <c r="H268" s="18"/>
      <c r="I268" s="18"/>
      <c r="J268" s="17">
        <f>INVENTARIO[[#This Row],[ENTRADAS]]-INVENTARIO[[#This Row],[SALIDAS]]</f>
        <v>0</v>
      </c>
      <c r="K268" s="16"/>
      <c r="L268" s="19"/>
    </row>
    <row r="269" spans="1:12" x14ac:dyDescent="0.25">
      <c r="A269" s="28">
        <v>267</v>
      </c>
      <c r="B269" s="15"/>
      <c r="C269" s="13"/>
      <c r="D269" s="12" t="s">
        <v>282</v>
      </c>
      <c r="E269" s="22" t="s">
        <v>304</v>
      </c>
      <c r="F269" s="17">
        <f>IFERROR(SUMIFS(ENTRADAS[CANTIDAD],ENTRADAS[Columna1],INVENTARIO[[#This Row],[DESCRIPCION]],ENTRADAS[LOTE],INVENTARIO[[#This Row],[CATALOGO]]),"-")</f>
        <v>0</v>
      </c>
      <c r="G269" s="17">
        <f>IFERROR(SUMIFS(SALIDAS[CANTIDAD],SALIDAS[DESCRIPCION],INVENTARIO[[#This Row],[DESCRIPCION]],SALIDAS[LOTE],INVENTARIO[[#This Row],[CATALOGO]]),"-")</f>
        <v>0</v>
      </c>
      <c r="H269" s="18"/>
      <c r="I269" s="18"/>
      <c r="J269" s="17">
        <f>INVENTARIO[[#This Row],[ENTRADAS]]-INVENTARIO[[#This Row],[SALIDAS]]</f>
        <v>0</v>
      </c>
      <c r="K269" s="16"/>
      <c r="L269" s="19"/>
    </row>
    <row r="270" spans="1:12" x14ac:dyDescent="0.25">
      <c r="A270" s="28">
        <v>268</v>
      </c>
      <c r="B270" s="15"/>
      <c r="C270" s="15"/>
      <c r="D270" s="15" t="s">
        <v>284</v>
      </c>
      <c r="E270" s="22" t="s">
        <v>303</v>
      </c>
      <c r="F270" s="17">
        <f>IFERROR(SUMIFS(ENTRADAS[CANTIDAD],ENTRADAS[Columna1],INVENTARIO[[#This Row],[DESCRIPCION]],ENTRADAS[LOTE],INVENTARIO[[#This Row],[CATALOGO]]),"-")</f>
        <v>0</v>
      </c>
      <c r="G270" s="17">
        <f>IFERROR(SUMIFS(SALIDAS[CANTIDAD],SALIDAS[DESCRIPCION],INVENTARIO[[#This Row],[DESCRIPCION]],SALIDAS[LOTE],INVENTARIO[[#This Row],[CATALOGO]]),"-")</f>
        <v>0</v>
      </c>
      <c r="H270" s="18"/>
      <c r="I270" s="18"/>
      <c r="J270" s="17">
        <f>INVENTARIO[[#This Row],[ENTRADAS]]-INVENTARIO[[#This Row],[SALIDAS]]</f>
        <v>0</v>
      </c>
      <c r="K270" s="16"/>
      <c r="L270" s="19"/>
    </row>
    <row r="271" spans="1:12" x14ac:dyDescent="0.25">
      <c r="A271" s="28">
        <v>269</v>
      </c>
      <c r="B271" s="15"/>
      <c r="C271" s="13"/>
      <c r="D271" s="12" t="s">
        <v>283</v>
      </c>
      <c r="E271" s="22" t="s">
        <v>302</v>
      </c>
      <c r="F271" s="17">
        <f>IFERROR(SUMIFS(ENTRADAS[CANTIDAD],ENTRADAS[Columna1],INVENTARIO[[#This Row],[DESCRIPCION]],ENTRADAS[LOTE],INVENTARIO[[#This Row],[CATALOGO]]),"-")</f>
        <v>0</v>
      </c>
      <c r="G271" s="17">
        <f>IFERROR(SUMIFS(SALIDAS[CANTIDAD],SALIDAS[DESCRIPCION],INVENTARIO[[#This Row],[DESCRIPCION]],SALIDAS[LOTE],INVENTARIO[[#This Row],[CATALOGO]]),"-")</f>
        <v>0</v>
      </c>
      <c r="H271" s="18"/>
      <c r="I271" s="18"/>
      <c r="J271" s="17">
        <f>INVENTARIO[[#This Row],[ENTRADAS]]-INVENTARIO[[#This Row],[SALIDAS]]</f>
        <v>0</v>
      </c>
      <c r="K271" s="16"/>
      <c r="L271" s="19"/>
    </row>
    <row r="272" spans="1:12" x14ac:dyDescent="0.25">
      <c r="A272" s="28">
        <v>270</v>
      </c>
      <c r="B272" s="15"/>
      <c r="C272" s="15"/>
      <c r="D272" s="15" t="s">
        <v>285</v>
      </c>
      <c r="E272" s="22" t="s">
        <v>301</v>
      </c>
      <c r="F272" s="17">
        <f>IFERROR(SUMIFS(ENTRADAS[CANTIDAD],ENTRADAS[Columna1],INVENTARIO[[#This Row],[DESCRIPCION]],ENTRADAS[LOTE],INVENTARIO[[#This Row],[CATALOGO]]),"-")</f>
        <v>0</v>
      </c>
      <c r="G272" s="17">
        <f>IFERROR(SUMIFS(SALIDAS[CANTIDAD],SALIDAS[DESCRIPCION],INVENTARIO[[#This Row],[DESCRIPCION]],SALIDAS[LOTE],INVENTARIO[[#This Row],[CATALOGO]]),"-")</f>
        <v>0</v>
      </c>
      <c r="H272" s="18"/>
      <c r="I272" s="18"/>
      <c r="J272" s="17">
        <f>INVENTARIO[[#This Row],[ENTRADAS]]-INVENTARIO[[#This Row],[SALIDAS]]</f>
        <v>0</v>
      </c>
      <c r="K272" s="16"/>
      <c r="L272" s="19"/>
    </row>
    <row r="273" spans="1:12" x14ac:dyDescent="0.25">
      <c r="A273" s="28">
        <v>271</v>
      </c>
      <c r="B273" s="15"/>
      <c r="C273" s="13"/>
      <c r="D273" s="12" t="s">
        <v>286</v>
      </c>
      <c r="E273" s="22" t="s">
        <v>300</v>
      </c>
      <c r="F273" s="17">
        <f>IFERROR(SUMIFS(ENTRADAS[CANTIDAD],ENTRADAS[Columna1],INVENTARIO[[#This Row],[DESCRIPCION]],ENTRADAS[LOTE],INVENTARIO[[#This Row],[CATALOGO]]),"-")</f>
        <v>0</v>
      </c>
      <c r="G273" s="17">
        <f>IFERROR(SUMIFS(SALIDAS[CANTIDAD],SALIDAS[DESCRIPCION],INVENTARIO[[#This Row],[DESCRIPCION]],SALIDAS[LOTE],INVENTARIO[[#This Row],[CATALOGO]]),"-")</f>
        <v>0</v>
      </c>
      <c r="H273" s="18"/>
      <c r="I273" s="18"/>
      <c r="J273" s="17">
        <f>INVENTARIO[[#This Row],[ENTRADAS]]-INVENTARIO[[#This Row],[SALIDAS]]</f>
        <v>0</v>
      </c>
      <c r="K273" s="16"/>
      <c r="L273" s="19"/>
    </row>
    <row r="274" spans="1:12" x14ac:dyDescent="0.25">
      <c r="A274" s="28">
        <v>272</v>
      </c>
      <c r="B274" s="15"/>
      <c r="C274" s="15"/>
      <c r="D274" s="15" t="s">
        <v>288</v>
      </c>
      <c r="E274" s="22" t="s">
        <v>299</v>
      </c>
      <c r="F274" s="17">
        <f>IFERROR(SUMIFS(ENTRADAS[CANTIDAD],ENTRADAS[Columna1],INVENTARIO[[#This Row],[DESCRIPCION]],ENTRADAS[LOTE],INVENTARIO[[#This Row],[CATALOGO]]),"-")</f>
        <v>0</v>
      </c>
      <c r="G274" s="17">
        <f>IFERROR(SUMIFS(SALIDAS[CANTIDAD],SALIDAS[DESCRIPCION],INVENTARIO[[#This Row],[DESCRIPCION]],SALIDAS[LOTE],INVENTARIO[[#This Row],[CATALOGO]]),"-")</f>
        <v>0</v>
      </c>
      <c r="H274" s="18"/>
      <c r="I274" s="18"/>
      <c r="J274" s="17">
        <f>INVENTARIO[[#This Row],[ENTRADAS]]-INVENTARIO[[#This Row],[SALIDAS]]</f>
        <v>0</v>
      </c>
      <c r="K274" s="16"/>
      <c r="L274" s="19"/>
    </row>
    <row r="275" spans="1:12" x14ac:dyDescent="0.25">
      <c r="A275" s="28">
        <v>273</v>
      </c>
      <c r="B275" s="15"/>
      <c r="C275" s="13"/>
      <c r="D275" s="12" t="s">
        <v>287</v>
      </c>
      <c r="E275" s="22" t="s">
        <v>298</v>
      </c>
      <c r="F275" s="17">
        <f>IFERROR(SUMIFS(ENTRADAS[CANTIDAD],ENTRADAS[Columna1],INVENTARIO[[#This Row],[DESCRIPCION]],ENTRADAS[LOTE],INVENTARIO[[#This Row],[CATALOGO]]),"-")</f>
        <v>0</v>
      </c>
      <c r="G275" s="17">
        <f>IFERROR(SUMIFS(SALIDAS[CANTIDAD],SALIDAS[DESCRIPCION],INVENTARIO[[#This Row],[DESCRIPCION]],SALIDAS[LOTE],INVENTARIO[[#This Row],[CATALOGO]]),"-")</f>
        <v>0</v>
      </c>
      <c r="H275" s="18"/>
      <c r="I275" s="18"/>
      <c r="J275" s="17">
        <f>INVENTARIO[[#This Row],[ENTRADAS]]-INVENTARIO[[#This Row],[SALIDAS]]</f>
        <v>0</v>
      </c>
      <c r="K275" s="16"/>
      <c r="L275" s="19"/>
    </row>
    <row r="276" spans="1:12" x14ac:dyDescent="0.25">
      <c r="A276" s="28">
        <v>274</v>
      </c>
      <c r="B276" s="15"/>
      <c r="C276" s="15"/>
      <c r="D276" s="15" t="s">
        <v>289</v>
      </c>
      <c r="E276" s="22" t="s">
        <v>297</v>
      </c>
      <c r="F276" s="17">
        <f>IFERROR(SUMIFS(ENTRADAS[CANTIDAD],ENTRADAS[Columna1],INVENTARIO[[#This Row],[DESCRIPCION]],ENTRADAS[LOTE],INVENTARIO[[#This Row],[CATALOGO]]),"-")</f>
        <v>0</v>
      </c>
      <c r="G276" s="17">
        <f>IFERROR(SUMIFS(SALIDAS[CANTIDAD],SALIDAS[DESCRIPCION],INVENTARIO[[#This Row],[DESCRIPCION]],SALIDAS[LOTE],INVENTARIO[[#This Row],[CATALOGO]]),"-")</f>
        <v>0</v>
      </c>
      <c r="H276" s="18"/>
      <c r="I276" s="18"/>
      <c r="J276" s="17">
        <f>INVENTARIO[[#This Row],[ENTRADAS]]-INVENTARIO[[#This Row],[SALIDAS]]</f>
        <v>0</v>
      </c>
      <c r="K276" s="16"/>
      <c r="L276" s="19"/>
    </row>
    <row r="277" spans="1:12" x14ac:dyDescent="0.25">
      <c r="A277" s="28">
        <v>275</v>
      </c>
      <c r="B277" s="15"/>
      <c r="C277" s="13"/>
      <c r="D277" s="12" t="s">
        <v>290</v>
      </c>
      <c r="E277" s="22" t="s">
        <v>296</v>
      </c>
      <c r="F277" s="17">
        <f>IFERROR(SUMIFS(ENTRADAS[CANTIDAD],ENTRADAS[Columna1],INVENTARIO[[#This Row],[DESCRIPCION]],ENTRADAS[LOTE],INVENTARIO[[#This Row],[CATALOGO]]),"-")</f>
        <v>0</v>
      </c>
      <c r="G277" s="17">
        <f>IFERROR(SUMIFS(SALIDAS[CANTIDAD],SALIDAS[DESCRIPCION],INVENTARIO[[#This Row],[DESCRIPCION]],SALIDAS[LOTE],INVENTARIO[[#This Row],[CATALOGO]]),"-")</f>
        <v>0</v>
      </c>
      <c r="H277" s="18"/>
      <c r="I277" s="18"/>
      <c r="J277" s="17">
        <f>INVENTARIO[[#This Row],[ENTRADAS]]-INVENTARIO[[#This Row],[SALIDAS]]</f>
        <v>0</v>
      </c>
      <c r="K277" s="16"/>
      <c r="L277" s="19"/>
    </row>
    <row r="278" spans="1:12" x14ac:dyDescent="0.25">
      <c r="A278" s="28">
        <v>276</v>
      </c>
      <c r="B278" s="15"/>
      <c r="C278" s="15"/>
      <c r="D278" s="15" t="s">
        <v>291</v>
      </c>
      <c r="E278" s="22" t="s">
        <v>295</v>
      </c>
      <c r="F278" s="17">
        <f>IFERROR(SUMIFS(ENTRADAS[CANTIDAD],ENTRADAS[Columna1],INVENTARIO[[#This Row],[DESCRIPCION]],ENTRADAS[LOTE],INVENTARIO[[#This Row],[CATALOGO]]),"-")</f>
        <v>0</v>
      </c>
      <c r="G278" s="17">
        <f>IFERROR(SUMIFS(SALIDAS[CANTIDAD],SALIDAS[DESCRIPCION],INVENTARIO[[#This Row],[DESCRIPCION]],SALIDAS[LOTE],INVENTARIO[[#This Row],[CATALOGO]]),"-")</f>
        <v>0</v>
      </c>
      <c r="H278" s="18"/>
      <c r="I278" s="18"/>
      <c r="J278" s="17">
        <f>INVENTARIO[[#This Row],[ENTRADAS]]-INVENTARIO[[#This Row],[SALIDAS]]</f>
        <v>0</v>
      </c>
      <c r="K278" s="16"/>
      <c r="L278" s="19"/>
    </row>
    <row r="279" spans="1:12" x14ac:dyDescent="0.25">
      <c r="A279" s="28">
        <v>277</v>
      </c>
      <c r="B279" s="15"/>
      <c r="C279" s="13"/>
      <c r="D279" s="12" t="s">
        <v>292</v>
      </c>
      <c r="E279" s="22" t="s">
        <v>294</v>
      </c>
      <c r="F279" s="17">
        <f>IFERROR(SUMIFS(ENTRADAS[CANTIDAD],ENTRADAS[Columna1],INVENTARIO[[#This Row],[DESCRIPCION]],ENTRADAS[LOTE],INVENTARIO[[#This Row],[CATALOGO]]),"-")</f>
        <v>0</v>
      </c>
      <c r="G279" s="17">
        <f>IFERROR(SUMIFS(SALIDAS[CANTIDAD],SALIDAS[DESCRIPCION],INVENTARIO[[#This Row],[DESCRIPCION]],SALIDAS[LOTE],INVENTARIO[[#This Row],[CATALOGO]]),"-")</f>
        <v>0</v>
      </c>
      <c r="H279" s="18"/>
      <c r="I279" s="18"/>
      <c r="J279" s="17">
        <f>INVENTARIO[[#This Row],[ENTRADAS]]-INVENTARIO[[#This Row],[SALIDAS]]</f>
        <v>0</v>
      </c>
      <c r="K279" s="16"/>
      <c r="L279" s="19"/>
    </row>
    <row r="280" spans="1:12" x14ac:dyDescent="0.25">
      <c r="A280" s="28">
        <v>278</v>
      </c>
      <c r="B280" s="15"/>
      <c r="C280" s="15"/>
      <c r="D280" s="15" t="s">
        <v>293</v>
      </c>
      <c r="E280" s="22"/>
      <c r="F280" s="17">
        <f>IFERROR(SUMIFS(ENTRADAS[CANTIDAD],ENTRADAS[Columna1],INVENTARIO[[#This Row],[DESCRIPCION]],ENTRADAS[LOTE],INVENTARIO[[#This Row],[CATALOGO]]),"-")</f>
        <v>0</v>
      </c>
      <c r="G280" s="17">
        <f>IFERROR(SUMIFS(SALIDAS[CANTIDAD],SALIDAS[DESCRIPCION],INVENTARIO[[#This Row],[DESCRIPCION]],SALIDAS[LOTE],INVENTARIO[[#This Row],[CATALOGO]]),"-")</f>
        <v>0</v>
      </c>
      <c r="H280" s="18"/>
      <c r="I280" s="18"/>
      <c r="J280" s="17">
        <f>INVENTARIO[[#This Row],[ENTRADAS]]-INVENTARIO[[#This Row],[SALIDAS]]</f>
        <v>0</v>
      </c>
      <c r="K280" s="16"/>
      <c r="L280" s="19"/>
    </row>
    <row r="281" spans="1:12" x14ac:dyDescent="0.25">
      <c r="A281" s="28">
        <v>279</v>
      </c>
      <c r="B281" s="15"/>
      <c r="C281" s="13"/>
      <c r="D281" s="12"/>
      <c r="E281" s="27"/>
      <c r="F281" s="14">
        <f>IFERROR(SUMIFS(ENTRADAS[CANTIDAD],ENTRADAS[Columna1],INVENTARIO[[#This Row],[DESCRIPCION]],ENTRADAS[LOTE],INVENTARIO[[#This Row],[CATALOGO]]),"-")</f>
        <v>0</v>
      </c>
      <c r="G281" s="14">
        <f>IFERROR(SUMIFS(SALIDAS[CANTIDAD],SALIDAS[DESCRIPCION],INVENTARIO[[#This Row],[DESCRIPCION]],SALIDAS[LOTE],INVENTARIO[[#This Row],[CATALOGO]]),"-")</f>
        <v>0</v>
      </c>
      <c r="H281" s="6"/>
      <c r="I281" s="6"/>
      <c r="J281" s="14">
        <f>INVENTARIO[[#This Row],[ENTRADAS]]-INVENTARIO[[#This Row],[SALIDAS]]</f>
        <v>0</v>
      </c>
      <c r="K281" s="5"/>
      <c r="L281" s="10"/>
    </row>
    <row r="282" spans="1:12" x14ac:dyDescent="0.25">
      <c r="A282" s="28">
        <v>280</v>
      </c>
      <c r="B282" s="15"/>
      <c r="C282" s="15"/>
      <c r="D282" s="15"/>
      <c r="E282" s="27"/>
      <c r="F282" s="14">
        <f>IFERROR(SUMIFS(ENTRADAS[CANTIDAD],ENTRADAS[Columna1],INVENTARIO[[#This Row],[DESCRIPCION]],ENTRADAS[LOTE],INVENTARIO[[#This Row],[CATALOGO]]),"-")</f>
        <v>0</v>
      </c>
      <c r="G282" s="14">
        <f>IFERROR(SUMIFS(SALIDAS[CANTIDAD],SALIDAS[DESCRIPCION],INVENTARIO[[#This Row],[DESCRIPCION]],SALIDAS[LOTE],INVENTARIO[[#This Row],[CATALOGO]]),"-")</f>
        <v>0</v>
      </c>
      <c r="H282" s="6"/>
      <c r="I282" s="6"/>
      <c r="J282" s="14">
        <f>INVENTARIO[[#This Row],[ENTRADAS]]-INVENTARIO[[#This Row],[SALIDAS]]</f>
        <v>0</v>
      </c>
      <c r="K282" s="5"/>
      <c r="L282" s="10"/>
    </row>
  </sheetData>
  <autoFilter ref="A2:A282">
    <sortState ref="A3:A282">
      <sortCondition ref="A2:A282"/>
    </sortState>
  </autoFilter>
  <conditionalFormatting sqref="J3:J282">
    <cfRule type="cellIs" dxfId="59" priority="19" operator="greaterThanOrEqual">
      <formula>$H3</formula>
    </cfRule>
    <cfRule type="cellIs" dxfId="58" priority="20" stopIfTrue="1" operator="equal">
      <formula>$I3</formula>
    </cfRule>
    <cfRule type="cellIs" dxfId="57" priority="21" operator="lessThan">
      <formula>$I3</formula>
    </cfRule>
    <cfRule type="cellIs" dxfId="56" priority="22" stopIfTrue="1" operator="lessThan">
      <formula>$H3</formula>
    </cfRule>
  </conditionalFormatting>
  <conditionalFormatting sqref="B3:B9">
    <cfRule type="containsText" dxfId="55" priority="18" operator="containsText" text="ELECTRICIDAD">
      <formula>NOT(ISERROR(SEARCH("ELECTRICIDAD",B3)))</formula>
    </cfRule>
    <cfRule type="containsText" dxfId="54" priority="17" operator="containsText" text="CTRL ">
      <formula>NOT(ISERROR(SEARCH("CTRL ",B3)))</formula>
    </cfRule>
    <cfRule type="containsText" dxfId="53" priority="16" operator="containsText" text="ESPECIAL">
      <formula>NOT(ISERROR(SEARCH("ESPECIAL",B3)))</formula>
    </cfRule>
    <cfRule type="containsText" dxfId="52" priority="15" operator="containsText" text="ELECTRICIDAD">
      <formula>NOT(ISERROR(SEARCH("ELECTRICIDAD",B3)))</formula>
    </cfRule>
    <cfRule type="containsText" dxfId="51" priority="14" operator="containsText" text="GENERAL">
      <formula>NOT(ISERROR(SEARCH("GENERAL",B3)))</formula>
    </cfRule>
    <cfRule type="containsText" dxfId="50" priority="13" operator="containsText" text="MECANICO">
      <formula>NOT(ISERROR(SEARCH("MECANICO",B3)))</formula>
    </cfRule>
    <cfRule type="containsText" dxfId="49" priority="12" operator="containsText" text="SERVICIOS">
      <formula>NOT(ISERROR(SEARCH("SERVICIOS",B3)))</formula>
    </cfRule>
    <cfRule type="containsText" dxfId="48" priority="11" operator="containsText" text="SOLDADURA">
      <formula>NOT(ISERROR(SEARCH("SOLDADURA",B3)))</formula>
    </cfRule>
    <cfRule type="containsText" dxfId="47" priority="9" operator="containsText" text="CTRL ">
      <formula>NOT(ISERROR(SEARCH("CTRL ",B3)))</formula>
    </cfRule>
    <cfRule type="containsText" dxfId="46" priority="2" operator="containsText" text="SOLDADURA">
      <formula>NOT(ISERROR(SEARCH("SOLDADURA",B3)))</formula>
    </cfRule>
    <cfRule type="containsText" dxfId="45" priority="1" operator="containsText" text="MECANICO">
      <formula>NOT(ISERROR(SEARCH("MECANICO",B3)))</formula>
    </cfRule>
  </conditionalFormatting>
  <conditionalFormatting sqref="C3:C9">
    <cfRule type="containsText" dxfId="44" priority="10" operator="containsText" text="(C)">
      <formula>NOT(ISERROR(SEARCH("(C)",C3)))</formula>
    </cfRule>
    <cfRule type="containsText" dxfId="43" priority="8" operator="containsText" text="(ES)">
      <formula>NOT(ISERROR(SEARCH("(ES)",C3)))</formula>
    </cfRule>
    <cfRule type="containsText" dxfId="42" priority="7" operator="containsText" text="(E)">
      <formula>NOT(ISERROR(SEARCH("(E)",C3)))</formula>
    </cfRule>
    <cfRule type="containsText" dxfId="41" priority="6" operator="containsText" text="(G)">
      <formula>NOT(ISERROR(SEARCH("(G)",C3)))</formula>
    </cfRule>
    <cfRule type="containsText" dxfId="40" priority="5" operator="containsText" text="(M)">
      <formula>NOT(ISERROR(SEARCH("(M)",C3)))</formula>
    </cfRule>
    <cfRule type="containsText" dxfId="39" priority="4" operator="containsText" text="(SE)">
      <formula>NOT(ISERROR(SEARCH("(SE)",C3)))</formula>
    </cfRule>
    <cfRule type="containsText" dxfId="38" priority="3" operator="containsText" text="(S)">
      <formula>NOT(ISERROR(SEARCH("(S)",C3)))</formula>
    </cfRule>
  </conditionalFormatting>
  <dataValidations count="2">
    <dataValidation type="list" allowBlank="1" showInputMessage="1" showErrorMessage="1" sqref="B3:B9">
      <formula1>CATEGORIAS</formula1>
    </dataValidation>
    <dataValidation type="list" allowBlank="1" showInputMessage="1" showErrorMessage="1" sqref="C3:C9">
      <formula1>INDIRECT($B3)</formula1>
    </dataValidation>
  </dataValidations>
  <pageMargins left="0.7" right="0.7" top="0.75" bottom="0.75" header="0.3" footer="0.3"/>
  <pageSetup orientation="portrait" horizontalDpi="360" verticalDpi="36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Hoja2!$G$13:$G$19</xm:f>
          </x14:formula1>
          <xm:sqref>C11:C282</xm:sqref>
        </x14:dataValidation>
        <x14:dataValidation type="list" allowBlank="1" showInputMessage="1" showErrorMessage="1">
          <x14:formula1>
            <xm:f>Hoja2!$E$4:$E$13</xm:f>
          </x14:formula1>
          <xm:sqref>B11:B282</xm:sqref>
        </x14:dataValidation>
        <x14:dataValidation type="list" allowBlank="1" showInputMessage="1" showErrorMessage="1">
          <x14:formula1>
            <xm:f>Hoja2!$E$4:$E$10</xm:f>
          </x14:formula1>
          <xm:sqref>B283:B499</xm:sqref>
        </x14:dataValidation>
        <x14:dataValidation type="list" allowBlank="1" showInputMessage="1" showErrorMessage="1">
          <x14:formula1>
            <xm:f>Hoja2!$B$2:$B$7</xm:f>
          </x14:formula1>
          <xm:sqref>C283:C499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0"/>
  <sheetViews>
    <sheetView zoomScaleNormal="100" workbookViewId="0">
      <pane ySplit="2" topLeftCell="A3" activePane="bottomLeft" state="frozen"/>
      <selection pane="bottomLeft" activeCell="B3" sqref="B3"/>
    </sheetView>
  </sheetViews>
  <sheetFormatPr baseColWidth="10" defaultRowHeight="15" x14ac:dyDescent="0.25"/>
  <cols>
    <col min="1" max="1" width="18.42578125" customWidth="1"/>
    <col min="3" max="3" width="20.85546875" customWidth="1"/>
    <col min="4" max="4" width="36" bestFit="1" customWidth="1"/>
    <col min="5" max="5" width="38.42578125" bestFit="1" customWidth="1"/>
    <col min="6" max="6" width="12.42578125" customWidth="1"/>
  </cols>
  <sheetData>
    <row r="1" spans="1:6" ht="45" customHeight="1" x14ac:dyDescent="0.25"/>
    <row r="2" spans="1:6" x14ac:dyDescent="0.25">
      <c r="A2" t="s">
        <v>76</v>
      </c>
      <c r="B2" t="s">
        <v>6</v>
      </c>
      <c r="C2" t="s">
        <v>77</v>
      </c>
      <c r="D2" t="s">
        <v>330</v>
      </c>
      <c r="E2" t="s">
        <v>1</v>
      </c>
      <c r="F2" t="s">
        <v>7</v>
      </c>
    </row>
    <row r="3" spans="1:6" x14ac:dyDescent="0.25">
      <c r="A3" s="2">
        <v>1</v>
      </c>
      <c r="B3" s="3"/>
      <c r="C3" s="7" t="s">
        <v>309</v>
      </c>
      <c r="D3" s="7" t="str">
        <f>IFERROR(VLOOKUP(ENTRADAS[[#This Row],[CODIGO PRODUCTO]],INVENTARIO[],2,FALSE),"-")</f>
        <v>(C)PLC</v>
      </c>
      <c r="E3" s="7" t="str">
        <f>IFERROR(VLOOKUP(ENTRADAS[[#This Row],[CODIGO PRODUCTO]],INVENTARIO[],3,FALSE),"-")</f>
        <v xml:space="preserve"> Boton domino iluminado</v>
      </c>
      <c r="F3">
        <v>0</v>
      </c>
    </row>
    <row r="4" spans="1:6" x14ac:dyDescent="0.25">
      <c r="A4" s="2">
        <v>2</v>
      </c>
      <c r="B4" s="9"/>
      <c r="C4" s="7" t="s">
        <v>311</v>
      </c>
      <c r="D4" s="8" t="str">
        <f>IFERROR(VLOOKUP(ENTRADAS[[#This Row],[CODIGO PRODUCTO]],INVENTARIO[],2,FALSE),"-")</f>
        <v>(M)CONSUMIBLE</v>
      </c>
      <c r="E4" s="8" t="str">
        <f>IFERROR(VLOOKUP(ENTRADAS[[#This Row],[CODIGO PRODUCTO]],INVENTARIO[],3,FALSE),"-")</f>
        <v>Accesorios para herramienta rotativa</v>
      </c>
      <c r="F4">
        <v>0</v>
      </c>
    </row>
    <row r="5" spans="1:6" x14ac:dyDescent="0.25">
      <c r="A5" s="2">
        <v>3</v>
      </c>
      <c r="B5" s="9"/>
      <c r="C5" s="7" t="s">
        <v>315</v>
      </c>
      <c r="D5" s="8" t="str">
        <f>IFERROR(VLOOKUP(ENTRADAS[[#This Row],[CODIGO PRODUCTO]],INVENTARIO[],2,FALSE),"-")</f>
        <v>(S)H. ELECTRICA</v>
      </c>
      <c r="E5" s="8" t="str">
        <f>IFERROR(VLOOKUP(ENTRADAS[[#This Row],[CODIGO PRODUCTO]],INVENTARIO[],3,FALSE),"-")</f>
        <v xml:space="preserve">Amoladora angular </v>
      </c>
      <c r="F5">
        <v>0</v>
      </c>
    </row>
    <row r="6" spans="1:6" x14ac:dyDescent="0.25">
      <c r="A6" s="2">
        <v>4</v>
      </c>
      <c r="C6" s="7" t="s">
        <v>311</v>
      </c>
      <c r="D6" s="8" t="str">
        <f>IFERROR(VLOOKUP(ENTRADAS[[#This Row],[CODIGO PRODUCTO]],INVENTARIO[],2,FALSE),"-")</f>
        <v>(M)CONSUMIBLE</v>
      </c>
      <c r="E6" s="8" t="str">
        <f>IFERROR(VLOOKUP(ENTRADAS[[#This Row],[CODIGO PRODUCTO]],INVENTARIO[],3,FALSE),"-")</f>
        <v>Accesorios para herramienta rotativa</v>
      </c>
      <c r="F6">
        <v>0</v>
      </c>
    </row>
    <row r="7" spans="1:6" x14ac:dyDescent="0.25">
      <c r="A7" s="2">
        <v>5</v>
      </c>
      <c r="C7" s="7" t="s">
        <v>315</v>
      </c>
      <c r="D7" s="8" t="str">
        <f>IFERROR(VLOOKUP(ENTRADAS[[#This Row],[CODIGO PRODUCTO]],INVENTARIO[],2,FALSE),"-")</f>
        <v>(S)H. ELECTRICA</v>
      </c>
      <c r="E7" s="8" t="str">
        <f>IFERROR(VLOOKUP(ENTRADAS[[#This Row],[CODIGO PRODUCTO]],INVENTARIO[],3,FALSE),"-")</f>
        <v xml:space="preserve">Amoladora angular </v>
      </c>
      <c r="F7">
        <v>0</v>
      </c>
    </row>
    <row r="8" spans="1:6" x14ac:dyDescent="0.25">
      <c r="A8" s="2">
        <v>6</v>
      </c>
      <c r="C8" s="7" t="s">
        <v>311</v>
      </c>
      <c r="D8" s="8" t="str">
        <f>IFERROR(VLOOKUP(ENTRADAS[[#This Row],[CODIGO PRODUCTO]],INVENTARIO[],2,FALSE),"-")</f>
        <v>(M)CONSUMIBLE</v>
      </c>
      <c r="E8" s="8" t="str">
        <f>IFERROR(VLOOKUP(ENTRADAS[[#This Row],[CODIGO PRODUCTO]],INVENTARIO[],3,FALSE),"-")</f>
        <v>Accesorios para herramienta rotativa</v>
      </c>
      <c r="F8">
        <v>0</v>
      </c>
    </row>
    <row r="9" spans="1:6" x14ac:dyDescent="0.25">
      <c r="A9" s="2">
        <v>7</v>
      </c>
      <c r="C9" s="7"/>
      <c r="D9" s="8" t="str">
        <f>IFERROR(VLOOKUP(ENTRADAS[[#This Row],[CODIGO PRODUCTO]],INVENTARIO[],2,FALSE),"-")</f>
        <v>-</v>
      </c>
      <c r="E9" s="8" t="str">
        <f>IFERROR(VLOOKUP(ENTRADAS[[#This Row],[CODIGO PRODUCTO]],INVENTARIO[],3,FALSE),"-")</f>
        <v>-</v>
      </c>
    </row>
    <row r="10" spans="1:6" x14ac:dyDescent="0.25">
      <c r="A10" s="2">
        <v>8</v>
      </c>
      <c r="C10" s="7"/>
      <c r="D10" s="8" t="str">
        <f>IFERROR(VLOOKUP(ENTRADAS[[#This Row],[CODIGO PRODUCTO]],INVENTARIO[],2,FALSE),"-")</f>
        <v>-</v>
      </c>
      <c r="E10" s="8" t="str">
        <f>IFERROR(VLOOKUP(ENTRADAS[[#This Row],[CODIGO PRODUCTO]],INVENTARIO[],3,FALSE),"-")</f>
        <v>-</v>
      </c>
    </row>
    <row r="11" spans="1:6" x14ac:dyDescent="0.25">
      <c r="A11" s="2">
        <v>9</v>
      </c>
      <c r="C11" s="7"/>
      <c r="D11" s="8" t="str">
        <f>IFERROR(VLOOKUP(ENTRADAS[[#This Row],[CODIGO PRODUCTO]],INVENTARIO[],2,FALSE),"-")</f>
        <v>-</v>
      </c>
      <c r="E11" s="8" t="str">
        <f>IFERROR(VLOOKUP(ENTRADAS[[#This Row],[CODIGO PRODUCTO]],INVENTARIO[],3,FALSE),"-")</f>
        <v>-</v>
      </c>
    </row>
    <row r="12" spans="1:6" x14ac:dyDescent="0.25">
      <c r="A12" s="2">
        <v>10</v>
      </c>
      <c r="C12" s="7"/>
      <c r="D12" s="8" t="str">
        <f>IFERROR(VLOOKUP(ENTRADAS[[#This Row],[CODIGO PRODUCTO]],INVENTARIO[],2,FALSE),"-")</f>
        <v>-</v>
      </c>
      <c r="E12" s="8" t="str">
        <f>IFERROR(VLOOKUP(ENTRADAS[[#This Row],[CODIGO PRODUCTO]],INVENTARIO[],3,FALSE),"-")</f>
        <v>-</v>
      </c>
    </row>
    <row r="13" spans="1:6" x14ac:dyDescent="0.25">
      <c r="A13" s="2">
        <v>11</v>
      </c>
      <c r="C13" s="7"/>
      <c r="D13" s="8" t="str">
        <f>IFERROR(VLOOKUP(ENTRADAS[[#This Row],[CODIGO PRODUCTO]],INVENTARIO[],2,FALSE),"-")</f>
        <v>-</v>
      </c>
      <c r="E13" s="8" t="str">
        <f>IFERROR(VLOOKUP(ENTRADAS[[#This Row],[CODIGO PRODUCTO]],INVENTARIO[],3,FALSE),"-")</f>
        <v>-</v>
      </c>
    </row>
    <row r="14" spans="1:6" x14ac:dyDescent="0.25">
      <c r="A14" s="2">
        <v>12</v>
      </c>
      <c r="C14" s="7"/>
      <c r="D14" s="8" t="str">
        <f>IFERROR(VLOOKUP(ENTRADAS[[#This Row],[CODIGO PRODUCTO]],INVENTARIO[],2,FALSE),"-")</f>
        <v>-</v>
      </c>
      <c r="E14" s="8" t="str">
        <f>IFERROR(VLOOKUP(ENTRADAS[[#This Row],[CODIGO PRODUCTO]],INVENTARIO[],3,FALSE),"-")</f>
        <v>-</v>
      </c>
    </row>
    <row r="15" spans="1:6" x14ac:dyDescent="0.25">
      <c r="A15" s="2">
        <v>13</v>
      </c>
      <c r="C15" s="7"/>
      <c r="D15" s="8" t="str">
        <f>IFERROR(VLOOKUP(ENTRADAS[[#This Row],[CODIGO PRODUCTO]],INVENTARIO[],2,FALSE),"-")</f>
        <v>-</v>
      </c>
      <c r="E15" s="8" t="str">
        <f>IFERROR(VLOOKUP(ENTRADAS[[#This Row],[CODIGO PRODUCTO]],INVENTARIO[],3,FALSE),"-")</f>
        <v>-</v>
      </c>
    </row>
    <row r="16" spans="1:6" x14ac:dyDescent="0.25">
      <c r="A16" s="2">
        <v>14</v>
      </c>
      <c r="C16" s="7"/>
      <c r="D16" s="8" t="str">
        <f>IFERROR(VLOOKUP(ENTRADAS[[#This Row],[CODIGO PRODUCTO]],INVENTARIO[],2,FALSE),"-")</f>
        <v>-</v>
      </c>
      <c r="E16" s="8" t="str">
        <f>IFERROR(VLOOKUP(ENTRADAS[[#This Row],[CODIGO PRODUCTO]],INVENTARIO[],3,FALSE),"-")</f>
        <v>-</v>
      </c>
    </row>
    <row r="17" spans="1:5" x14ac:dyDescent="0.25">
      <c r="A17" s="2">
        <v>15</v>
      </c>
      <c r="C17" s="7"/>
      <c r="D17" s="8" t="str">
        <f>IFERROR(VLOOKUP(ENTRADAS[[#This Row],[CODIGO PRODUCTO]],INVENTARIO[],2,FALSE),"-")</f>
        <v>-</v>
      </c>
      <c r="E17" s="8" t="str">
        <f>IFERROR(VLOOKUP(ENTRADAS[[#This Row],[CODIGO PRODUCTO]],INVENTARIO[],3,FALSE),"-")</f>
        <v>-</v>
      </c>
    </row>
    <row r="18" spans="1:5" x14ac:dyDescent="0.25">
      <c r="A18" s="2">
        <v>16</v>
      </c>
      <c r="C18" s="7"/>
      <c r="D18" s="8" t="str">
        <f>IFERROR(VLOOKUP(ENTRADAS[[#This Row],[CODIGO PRODUCTO]],INVENTARIO[],2,FALSE),"-")</f>
        <v>-</v>
      </c>
      <c r="E18" s="8" t="str">
        <f>IFERROR(VLOOKUP(ENTRADAS[[#This Row],[CODIGO PRODUCTO]],INVENTARIO[],3,FALSE),"-")</f>
        <v>-</v>
      </c>
    </row>
    <row r="19" spans="1:5" x14ac:dyDescent="0.25">
      <c r="A19" s="2">
        <v>17</v>
      </c>
      <c r="C19" s="7"/>
      <c r="D19" s="8" t="str">
        <f>IFERROR(VLOOKUP(ENTRADAS[[#This Row],[CODIGO PRODUCTO]],INVENTARIO[],2,FALSE),"-")</f>
        <v>-</v>
      </c>
      <c r="E19" s="8" t="str">
        <f>IFERROR(VLOOKUP(ENTRADAS[[#This Row],[CODIGO PRODUCTO]],INVENTARIO[],3,FALSE),"-")</f>
        <v>-</v>
      </c>
    </row>
    <row r="20" spans="1:5" x14ac:dyDescent="0.25">
      <c r="A20" s="2">
        <v>18</v>
      </c>
      <c r="C20" s="7"/>
      <c r="D20" s="8" t="str">
        <f>IFERROR(VLOOKUP(ENTRADAS[[#This Row],[CODIGO PRODUCTO]],INVENTARIO[],2,FALSE),"-")</f>
        <v>-</v>
      </c>
      <c r="E20" s="8" t="str">
        <f>IFERROR(VLOOKUP(ENTRADAS[[#This Row],[CODIGO PRODUCTO]],INVENTARIO[],3,FALSE),"-")</f>
        <v>-</v>
      </c>
    </row>
    <row r="21" spans="1:5" x14ac:dyDescent="0.25">
      <c r="A21" s="2">
        <v>19</v>
      </c>
      <c r="C21" s="7"/>
      <c r="D21" s="8" t="str">
        <f>IFERROR(VLOOKUP(ENTRADAS[[#This Row],[CODIGO PRODUCTO]],INVENTARIO[],2,FALSE),"-")</f>
        <v>-</v>
      </c>
      <c r="E21" s="8" t="str">
        <f>IFERROR(VLOOKUP(ENTRADAS[[#This Row],[CODIGO PRODUCTO]],INVENTARIO[],3,FALSE),"-")</f>
        <v>-</v>
      </c>
    </row>
    <row r="22" spans="1:5" x14ac:dyDescent="0.25">
      <c r="A22" s="2">
        <v>20</v>
      </c>
      <c r="C22" s="7"/>
      <c r="D22" s="8" t="str">
        <f>IFERROR(VLOOKUP(ENTRADAS[[#This Row],[CODIGO PRODUCTO]],INVENTARIO[],2,FALSE),"-")</f>
        <v>-</v>
      </c>
      <c r="E22" s="8" t="str">
        <f>IFERROR(VLOOKUP(ENTRADAS[[#This Row],[CODIGO PRODUCTO]],INVENTARIO[],3,FALSE),"-")</f>
        <v>-</v>
      </c>
    </row>
    <row r="23" spans="1:5" x14ac:dyDescent="0.25">
      <c r="A23" s="2">
        <v>21</v>
      </c>
      <c r="C23" s="7"/>
      <c r="D23" s="8" t="str">
        <f>IFERROR(VLOOKUP(ENTRADAS[[#This Row],[CODIGO PRODUCTO]],INVENTARIO[],2,FALSE),"-")</f>
        <v>-</v>
      </c>
      <c r="E23" s="8" t="str">
        <f>IFERROR(VLOOKUP(ENTRADAS[[#This Row],[CODIGO PRODUCTO]],INVENTARIO[],3,FALSE),"-")</f>
        <v>-</v>
      </c>
    </row>
    <row r="24" spans="1:5" x14ac:dyDescent="0.25">
      <c r="A24" s="2">
        <v>22</v>
      </c>
      <c r="C24" s="7"/>
      <c r="D24" s="8" t="str">
        <f>IFERROR(VLOOKUP(ENTRADAS[[#This Row],[CODIGO PRODUCTO]],INVENTARIO[],2,FALSE),"-")</f>
        <v>-</v>
      </c>
      <c r="E24" s="8" t="str">
        <f>IFERROR(VLOOKUP(ENTRADAS[[#This Row],[CODIGO PRODUCTO]],INVENTARIO[],3,FALSE),"-")</f>
        <v>-</v>
      </c>
    </row>
    <row r="25" spans="1:5" x14ac:dyDescent="0.25">
      <c r="A25" s="2">
        <v>23</v>
      </c>
      <c r="C25" s="7"/>
      <c r="D25" s="8" t="str">
        <f>IFERROR(VLOOKUP(ENTRADAS[[#This Row],[CODIGO PRODUCTO]],INVENTARIO[],2,FALSE),"-")</f>
        <v>-</v>
      </c>
      <c r="E25" s="8" t="str">
        <f>IFERROR(VLOOKUP(ENTRADAS[[#This Row],[CODIGO PRODUCTO]],INVENTARIO[],3,FALSE),"-")</f>
        <v>-</v>
      </c>
    </row>
    <row r="26" spans="1:5" x14ac:dyDescent="0.25">
      <c r="A26" s="2">
        <v>24</v>
      </c>
      <c r="C26" s="7"/>
      <c r="D26" s="8" t="str">
        <f>IFERROR(VLOOKUP(ENTRADAS[[#This Row],[CODIGO PRODUCTO]],INVENTARIO[],2,FALSE),"-")</f>
        <v>-</v>
      </c>
      <c r="E26" s="8" t="str">
        <f>IFERROR(VLOOKUP(ENTRADAS[[#This Row],[CODIGO PRODUCTO]],INVENTARIO[],3,FALSE),"-")</f>
        <v>-</v>
      </c>
    </row>
    <row r="27" spans="1:5" x14ac:dyDescent="0.25">
      <c r="A27" s="2">
        <v>25</v>
      </c>
      <c r="C27" s="7"/>
      <c r="D27" s="8" t="str">
        <f>IFERROR(VLOOKUP(ENTRADAS[[#This Row],[CODIGO PRODUCTO]],INVENTARIO[],2,FALSE),"-")</f>
        <v>-</v>
      </c>
      <c r="E27" s="8" t="str">
        <f>IFERROR(VLOOKUP(ENTRADAS[[#This Row],[CODIGO PRODUCTO]],INVENTARIO[],3,FALSE),"-")</f>
        <v>-</v>
      </c>
    </row>
    <row r="28" spans="1:5" x14ac:dyDescent="0.25">
      <c r="A28" s="2">
        <v>26</v>
      </c>
      <c r="C28" s="7"/>
      <c r="D28" s="8" t="str">
        <f>IFERROR(VLOOKUP(ENTRADAS[[#This Row],[CODIGO PRODUCTO]],INVENTARIO[],2,FALSE),"-")</f>
        <v>-</v>
      </c>
      <c r="E28" s="8" t="str">
        <f>IFERROR(VLOOKUP(ENTRADAS[[#This Row],[CODIGO PRODUCTO]],INVENTARIO[],3,FALSE),"-")</f>
        <v>-</v>
      </c>
    </row>
    <row r="29" spans="1:5" x14ac:dyDescent="0.25">
      <c r="A29" s="2">
        <v>27</v>
      </c>
      <c r="C29" s="7"/>
      <c r="D29" s="8" t="str">
        <f>IFERROR(VLOOKUP(ENTRADAS[[#This Row],[CODIGO PRODUCTO]],INVENTARIO[],2,FALSE),"-")</f>
        <v>-</v>
      </c>
      <c r="E29" s="8" t="str">
        <f>IFERROR(VLOOKUP(ENTRADAS[[#This Row],[CODIGO PRODUCTO]],INVENTARIO[],3,FALSE),"-")</f>
        <v>-</v>
      </c>
    </row>
    <row r="30" spans="1:5" x14ac:dyDescent="0.25">
      <c r="A30" s="2">
        <v>28</v>
      </c>
      <c r="C30" s="7"/>
      <c r="D30" s="8" t="str">
        <f>IFERROR(VLOOKUP(ENTRADAS[[#This Row],[CODIGO PRODUCTO]],INVENTARIO[],2,FALSE),"-")</f>
        <v>-</v>
      </c>
      <c r="E30" s="8" t="str">
        <f>IFERROR(VLOOKUP(ENTRADAS[[#This Row],[CODIGO PRODUCTO]],INVENTARIO[],3,FALSE),"-")</f>
        <v>-</v>
      </c>
    </row>
    <row r="31" spans="1:5" x14ac:dyDescent="0.25">
      <c r="A31" s="2">
        <v>29</v>
      </c>
      <c r="C31" s="7"/>
      <c r="D31" s="8" t="str">
        <f>IFERROR(VLOOKUP(ENTRADAS[[#This Row],[CODIGO PRODUCTO]],INVENTARIO[],2,FALSE),"-")</f>
        <v>-</v>
      </c>
      <c r="E31" s="8" t="str">
        <f>IFERROR(VLOOKUP(ENTRADAS[[#This Row],[CODIGO PRODUCTO]],INVENTARIO[],3,FALSE),"-")</f>
        <v>-</v>
      </c>
    </row>
    <row r="32" spans="1:5" x14ac:dyDescent="0.25">
      <c r="A32" s="2">
        <v>30</v>
      </c>
      <c r="C32" s="7"/>
      <c r="D32" s="8" t="str">
        <f>IFERROR(VLOOKUP(ENTRADAS[[#This Row],[CODIGO PRODUCTO]],INVENTARIO[],2,FALSE),"-")</f>
        <v>-</v>
      </c>
      <c r="E32" s="8" t="str">
        <f>IFERROR(VLOOKUP(ENTRADAS[[#This Row],[CODIGO PRODUCTO]],INVENTARIO[],3,FALSE),"-")</f>
        <v>-</v>
      </c>
    </row>
    <row r="33" spans="1:5" x14ac:dyDescent="0.25">
      <c r="A33" s="2">
        <v>31</v>
      </c>
      <c r="C33" s="7"/>
      <c r="D33" s="8" t="str">
        <f>IFERROR(VLOOKUP(ENTRADAS[[#This Row],[CODIGO PRODUCTO]],INVENTARIO[],2,FALSE),"-")</f>
        <v>-</v>
      </c>
      <c r="E33" s="8" t="str">
        <f>IFERROR(VLOOKUP(ENTRADAS[[#This Row],[CODIGO PRODUCTO]],INVENTARIO[],3,FALSE),"-")</f>
        <v>-</v>
      </c>
    </row>
    <row r="34" spans="1:5" x14ac:dyDescent="0.25">
      <c r="A34" s="2">
        <v>32</v>
      </c>
      <c r="C34" s="7"/>
      <c r="D34" s="8" t="str">
        <f>IFERROR(VLOOKUP(ENTRADAS[[#This Row],[CODIGO PRODUCTO]],INVENTARIO[],2,FALSE),"-")</f>
        <v>-</v>
      </c>
      <c r="E34" s="8" t="str">
        <f>IFERROR(VLOOKUP(ENTRADAS[[#This Row],[CODIGO PRODUCTO]],INVENTARIO[],3,FALSE),"-")</f>
        <v>-</v>
      </c>
    </row>
    <row r="35" spans="1:5" x14ac:dyDescent="0.25">
      <c r="A35" s="2">
        <v>33</v>
      </c>
      <c r="C35" s="7"/>
      <c r="D35" s="8" t="str">
        <f>IFERROR(VLOOKUP(ENTRADAS[[#This Row],[CODIGO PRODUCTO]],INVENTARIO[],2,FALSE),"-")</f>
        <v>-</v>
      </c>
      <c r="E35" s="8" t="str">
        <f>IFERROR(VLOOKUP(ENTRADAS[[#This Row],[CODIGO PRODUCTO]],INVENTARIO[],3,FALSE),"-")</f>
        <v>-</v>
      </c>
    </row>
    <row r="36" spans="1:5" x14ac:dyDescent="0.25">
      <c r="A36" s="2">
        <v>34</v>
      </c>
      <c r="C36" s="7"/>
      <c r="D36" s="8" t="str">
        <f>IFERROR(VLOOKUP(ENTRADAS[[#This Row],[CODIGO PRODUCTO]],INVENTARIO[],2,FALSE),"-")</f>
        <v>-</v>
      </c>
      <c r="E36" s="8" t="str">
        <f>IFERROR(VLOOKUP(ENTRADAS[[#This Row],[CODIGO PRODUCTO]],INVENTARIO[],3,FALSE),"-")</f>
        <v>-</v>
      </c>
    </row>
    <row r="37" spans="1:5" x14ac:dyDescent="0.25">
      <c r="A37" s="2">
        <v>35</v>
      </c>
      <c r="C37" s="7"/>
      <c r="D37" s="8" t="str">
        <f>IFERROR(VLOOKUP(ENTRADAS[[#This Row],[CODIGO PRODUCTO]],INVENTARIO[],2,FALSE),"-")</f>
        <v>-</v>
      </c>
      <c r="E37" s="8" t="str">
        <f>IFERROR(VLOOKUP(ENTRADAS[[#This Row],[CODIGO PRODUCTO]],INVENTARIO[],3,FALSE),"-")</f>
        <v>-</v>
      </c>
    </row>
    <row r="38" spans="1:5" x14ac:dyDescent="0.25">
      <c r="A38" s="2">
        <v>36</v>
      </c>
      <c r="C38" s="7"/>
      <c r="D38" s="8" t="str">
        <f>IFERROR(VLOOKUP(ENTRADAS[[#This Row],[CODIGO PRODUCTO]],INVENTARIO[],2,FALSE),"-")</f>
        <v>-</v>
      </c>
      <c r="E38" s="8" t="str">
        <f>IFERROR(VLOOKUP(ENTRADAS[[#This Row],[CODIGO PRODUCTO]],INVENTARIO[],3,FALSE),"-")</f>
        <v>-</v>
      </c>
    </row>
    <row r="39" spans="1:5" x14ac:dyDescent="0.25">
      <c r="A39" s="2">
        <v>37</v>
      </c>
      <c r="C39" s="7"/>
      <c r="D39" s="8" t="str">
        <f>IFERROR(VLOOKUP(ENTRADAS[[#This Row],[CODIGO PRODUCTO]],INVENTARIO[],2,FALSE),"-")</f>
        <v>-</v>
      </c>
      <c r="E39" s="8" t="str">
        <f>IFERROR(VLOOKUP(ENTRADAS[[#This Row],[CODIGO PRODUCTO]],INVENTARIO[],3,FALSE),"-")</f>
        <v>-</v>
      </c>
    </row>
    <row r="40" spans="1:5" x14ac:dyDescent="0.25">
      <c r="A40" s="2"/>
      <c r="C40" s="7"/>
      <c r="D40" s="8" t="str">
        <f>IFERROR(VLOOKUP(ENTRADAS[[#This Row],[CODIGO PRODUCTO]],INVENTARIO[],2,FALSE),"-")</f>
        <v>-</v>
      </c>
      <c r="E40" s="8" t="str">
        <f>IFERROR(VLOOKUP(ENTRADAS[[#This Row],[CODIGO PRODUCTO]],INVENTARIO[],3,FALSE),"-")</f>
        <v>-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STOCK!$B$2:$B$9100</xm:f>
          </x14:formula1>
          <xm:sqref>C3:C40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3"/>
  <sheetViews>
    <sheetView workbookViewId="0">
      <pane ySplit="2" topLeftCell="A3" activePane="bottomLeft" state="frozen"/>
      <selection pane="bottomLeft" activeCell="A10" sqref="A10"/>
    </sheetView>
  </sheetViews>
  <sheetFormatPr baseColWidth="10" defaultRowHeight="15" x14ac:dyDescent="0.25"/>
  <cols>
    <col min="1" max="1" width="18.7109375" style="4" bestFit="1" customWidth="1"/>
    <col min="2" max="2" width="14.140625" customWidth="1"/>
    <col min="3" max="3" width="21.140625" bestFit="1" customWidth="1"/>
    <col min="4" max="4" width="41.7109375" customWidth="1"/>
    <col min="5" max="5" width="28.28515625" customWidth="1"/>
    <col min="6" max="6" width="12.42578125" customWidth="1"/>
  </cols>
  <sheetData>
    <row r="1" spans="1:7" ht="45" customHeight="1" x14ac:dyDescent="0.25"/>
    <row r="2" spans="1:7" x14ac:dyDescent="0.25">
      <c r="A2" s="4" t="s">
        <v>76</v>
      </c>
      <c r="B2" t="s">
        <v>79</v>
      </c>
      <c r="C2" t="s">
        <v>77</v>
      </c>
      <c r="D2" t="s">
        <v>0</v>
      </c>
      <c r="E2" t="s">
        <v>111</v>
      </c>
      <c r="F2" t="s">
        <v>1</v>
      </c>
      <c r="G2" t="s">
        <v>7</v>
      </c>
    </row>
    <row r="3" spans="1:7" x14ac:dyDescent="0.25">
      <c r="A3" s="4">
        <v>1</v>
      </c>
      <c r="B3" s="3"/>
      <c r="C3" s="7" t="s">
        <v>114</v>
      </c>
      <c r="D3" s="7" t="str">
        <f>IFERROR(VLOOKUP(SALIDAS[CODIGO PRODUCTO],INVENTARIO[],2,FALSE),"-")</f>
        <v>-</v>
      </c>
      <c r="E3" s="7"/>
      <c r="F3" s="7" t="str">
        <f>IFERROR(VLOOKUP(SALIDAS[CODIGO PRODUCTO],INVENTARIO[],3,FALSE),"-")</f>
        <v>-</v>
      </c>
      <c r="G3">
        <v>0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Hoja2!$A$2:$A$14</xm:f>
          </x14:formula1>
          <xm:sqref>E3:E1048576</xm:sqref>
        </x14:dataValidation>
        <x14:dataValidation type="list" allowBlank="1" showInputMessage="1" showErrorMessage="1">
          <x14:formula1>
            <xm:f>STOCK!$B$2:$B$9100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4"/>
  <sheetViews>
    <sheetView topLeftCell="A16" workbookViewId="0">
      <selection activeCell="H27" sqref="H27:H34"/>
    </sheetView>
  </sheetViews>
  <sheetFormatPr baseColWidth="10" defaultRowHeight="15" outlineLevelRow="1" x14ac:dyDescent="0.25"/>
  <cols>
    <col min="1" max="1" width="13.28515625" bestFit="1" customWidth="1"/>
    <col min="2" max="2" width="15.5703125" bestFit="1" customWidth="1"/>
    <col min="4" max="4" width="15" bestFit="1" customWidth="1"/>
    <col min="5" max="5" width="21.7109375" bestFit="1" customWidth="1"/>
    <col min="6" max="6" width="22.42578125" customWidth="1"/>
    <col min="7" max="7" width="13.85546875" bestFit="1" customWidth="1"/>
    <col min="8" max="8" width="15" bestFit="1" customWidth="1"/>
    <col min="9" max="9" width="4.28515625" customWidth="1"/>
    <col min="10" max="10" width="12.42578125" bestFit="1" customWidth="1"/>
    <col min="11" max="11" width="9.28515625" customWidth="1"/>
    <col min="12" max="12" width="12" bestFit="1" customWidth="1"/>
    <col min="13" max="13" width="8.85546875" customWidth="1"/>
    <col min="14" max="14" width="4.140625" customWidth="1"/>
    <col min="15" max="15" width="12.5703125" bestFit="1" customWidth="1"/>
  </cols>
  <sheetData>
    <row r="1" spans="1:7" x14ac:dyDescent="0.25">
      <c r="A1" s="23" t="s">
        <v>253</v>
      </c>
      <c r="B1" s="23" t="s">
        <v>325</v>
      </c>
    </row>
    <row r="2" spans="1:7" x14ac:dyDescent="0.25">
      <c r="A2" s="1" t="s">
        <v>309</v>
      </c>
      <c r="B2" s="1" t="s">
        <v>316</v>
      </c>
    </row>
    <row r="3" spans="1:7" outlineLevel="1" x14ac:dyDescent="0.25">
      <c r="A3" s="1" t="s">
        <v>309</v>
      </c>
      <c r="B3" s="1" t="s">
        <v>317</v>
      </c>
      <c r="E3" s="24" t="s">
        <v>326</v>
      </c>
      <c r="F3" s="1" t="s">
        <v>309</v>
      </c>
      <c r="G3" s="1" t="s">
        <v>316</v>
      </c>
    </row>
    <row r="4" spans="1:7" ht="18.75" outlineLevel="1" x14ac:dyDescent="0.4">
      <c r="A4" s="1" t="s">
        <v>309</v>
      </c>
      <c r="B4" s="1" t="s">
        <v>318</v>
      </c>
      <c r="E4" s="30" t="s">
        <v>309</v>
      </c>
      <c r="F4" s="1"/>
      <c r="G4" s="1" t="s">
        <v>317</v>
      </c>
    </row>
    <row r="5" spans="1:7" ht="18.75" outlineLevel="1" x14ac:dyDescent="0.4">
      <c r="A5" s="1" t="s">
        <v>310</v>
      </c>
      <c r="B5" s="1" t="s">
        <v>319</v>
      </c>
      <c r="E5" s="31" t="s">
        <v>313</v>
      </c>
      <c r="F5" s="1"/>
      <c r="G5" s="1" t="s">
        <v>318</v>
      </c>
    </row>
    <row r="6" spans="1:7" ht="18.75" x14ac:dyDescent="0.4">
      <c r="A6" s="1" t="s">
        <v>310</v>
      </c>
      <c r="B6" s="1" t="s">
        <v>320</v>
      </c>
      <c r="E6" s="31" t="s">
        <v>310</v>
      </c>
    </row>
    <row r="7" spans="1:7" ht="18.75" x14ac:dyDescent="0.4">
      <c r="A7" s="1" t="s">
        <v>310</v>
      </c>
      <c r="B7" s="1" t="s">
        <v>321</v>
      </c>
      <c r="E7" s="31" t="s">
        <v>312</v>
      </c>
    </row>
    <row r="8" spans="1:7" ht="18.75" x14ac:dyDescent="0.4">
      <c r="A8" s="1" t="s">
        <v>310</v>
      </c>
      <c r="B8" s="1" t="s">
        <v>316</v>
      </c>
      <c r="E8" s="31" t="s">
        <v>311</v>
      </c>
    </row>
    <row r="9" spans="1:7" ht="18.75" x14ac:dyDescent="0.4">
      <c r="A9" s="1" t="s">
        <v>311</v>
      </c>
      <c r="B9" s="1" t="s">
        <v>322</v>
      </c>
      <c r="E9" s="31" t="s">
        <v>314</v>
      </c>
    </row>
    <row r="10" spans="1:7" ht="18.75" x14ac:dyDescent="0.4">
      <c r="A10" s="1" t="s">
        <v>311</v>
      </c>
      <c r="B10" s="1" t="s">
        <v>320</v>
      </c>
      <c r="E10" s="31" t="s">
        <v>315</v>
      </c>
    </row>
    <row r="11" spans="1:7" x14ac:dyDescent="0.25">
      <c r="A11" s="1" t="s">
        <v>311</v>
      </c>
      <c r="B11" s="1" t="s">
        <v>323</v>
      </c>
      <c r="E11" s="25" t="s">
        <v>327</v>
      </c>
    </row>
    <row r="12" spans="1:7" ht="18.75" x14ac:dyDescent="0.4">
      <c r="A12" s="1" t="s">
        <v>311</v>
      </c>
      <c r="B12" s="1" t="s">
        <v>316</v>
      </c>
    </row>
    <row r="13" spans="1:7" ht="18.75" x14ac:dyDescent="0.4">
      <c r="A13" s="1" t="s">
        <v>312</v>
      </c>
      <c r="B13" s="1" t="s">
        <v>322</v>
      </c>
      <c r="G13" s="1" t="s">
        <v>316</v>
      </c>
    </row>
    <row r="14" spans="1:7" x14ac:dyDescent="0.25">
      <c r="A14" s="1" t="s">
        <v>312</v>
      </c>
      <c r="B14" s="1" t="s">
        <v>324</v>
      </c>
      <c r="G14" s="1" t="s">
        <v>317</v>
      </c>
    </row>
    <row r="15" spans="1:7" x14ac:dyDescent="0.25">
      <c r="A15" s="1" t="s">
        <v>312</v>
      </c>
      <c r="B15" s="1" t="s">
        <v>323</v>
      </c>
      <c r="G15" s="1" t="s">
        <v>318</v>
      </c>
    </row>
    <row r="16" spans="1:7" x14ac:dyDescent="0.25">
      <c r="A16" s="1" t="s">
        <v>312</v>
      </c>
      <c r="B16" s="1" t="s">
        <v>316</v>
      </c>
      <c r="G16" s="1" t="s">
        <v>319</v>
      </c>
    </row>
    <row r="17" spans="1:8" x14ac:dyDescent="0.25">
      <c r="A17" s="1" t="s">
        <v>313</v>
      </c>
      <c r="B17" s="1" t="s">
        <v>316</v>
      </c>
      <c r="G17" s="1" t="s">
        <v>320</v>
      </c>
    </row>
    <row r="18" spans="1:8" x14ac:dyDescent="0.25">
      <c r="A18" s="1" t="s">
        <v>314</v>
      </c>
      <c r="B18" s="1" t="s">
        <v>316</v>
      </c>
      <c r="G18" s="1" t="s">
        <v>321</v>
      </c>
    </row>
    <row r="19" spans="1:8" x14ac:dyDescent="0.25">
      <c r="A19" s="1" t="s">
        <v>315</v>
      </c>
      <c r="B19" s="1" t="s">
        <v>316</v>
      </c>
      <c r="G19" s="26" t="s">
        <v>328</v>
      </c>
    </row>
    <row r="20" spans="1:8" x14ac:dyDescent="0.25">
      <c r="A20" s="1" t="s">
        <v>315</v>
      </c>
      <c r="B20" s="1" t="s">
        <v>322</v>
      </c>
    </row>
    <row r="21" spans="1:8" x14ac:dyDescent="0.25">
      <c r="A21" s="1" t="s">
        <v>315</v>
      </c>
      <c r="B21" s="1" t="s">
        <v>324</v>
      </c>
    </row>
    <row r="26" spans="1:8" x14ac:dyDescent="0.25">
      <c r="A26" s="32" t="s">
        <v>331</v>
      </c>
      <c r="B26" s="32" t="s">
        <v>332</v>
      </c>
      <c r="C26" s="32" t="s">
        <v>313</v>
      </c>
      <c r="D26" s="32" t="s">
        <v>310</v>
      </c>
      <c r="E26" s="32" t="s">
        <v>312</v>
      </c>
      <c r="F26" s="32" t="s">
        <v>333</v>
      </c>
      <c r="G26" s="32" t="s">
        <v>314</v>
      </c>
      <c r="H26" s="32" t="s">
        <v>315</v>
      </c>
    </row>
    <row r="27" spans="1:8" x14ac:dyDescent="0.25">
      <c r="A27" s="33" t="s">
        <v>309</v>
      </c>
      <c r="B27" s="33" t="s">
        <v>334</v>
      </c>
      <c r="C27" s="34"/>
      <c r="D27" s="35" t="s">
        <v>335</v>
      </c>
      <c r="E27" s="36" t="s">
        <v>336</v>
      </c>
      <c r="F27" s="37" t="s">
        <v>337</v>
      </c>
      <c r="G27" s="38" t="s">
        <v>338</v>
      </c>
      <c r="H27" s="39" t="s">
        <v>339</v>
      </c>
    </row>
    <row r="28" spans="1:8" x14ac:dyDescent="0.25">
      <c r="A28" s="40" t="s">
        <v>313</v>
      </c>
      <c r="B28" s="33" t="s">
        <v>340</v>
      </c>
      <c r="C28" s="40" t="s">
        <v>341</v>
      </c>
      <c r="D28" s="35" t="s">
        <v>342</v>
      </c>
      <c r="E28" s="36" t="s">
        <v>343</v>
      </c>
      <c r="F28" s="37" t="s">
        <v>344</v>
      </c>
      <c r="G28" s="38" t="s">
        <v>345</v>
      </c>
      <c r="H28" s="39" t="s">
        <v>346</v>
      </c>
    </row>
    <row r="29" spans="1:8" x14ac:dyDescent="0.25">
      <c r="A29" s="35" t="s">
        <v>310</v>
      </c>
      <c r="B29" s="33" t="s">
        <v>347</v>
      </c>
      <c r="C29" s="40"/>
      <c r="D29" s="35" t="s">
        <v>348</v>
      </c>
      <c r="E29" s="36" t="s">
        <v>349</v>
      </c>
      <c r="F29" s="37" t="s">
        <v>350</v>
      </c>
      <c r="G29" s="38"/>
      <c r="H29" s="39" t="s">
        <v>351</v>
      </c>
    </row>
    <row r="30" spans="1:8" x14ac:dyDescent="0.25">
      <c r="A30" s="36" t="s">
        <v>312</v>
      </c>
      <c r="B30" s="33" t="s">
        <v>352</v>
      </c>
      <c r="C30" s="40"/>
      <c r="D30" s="35" t="s">
        <v>353</v>
      </c>
      <c r="E30" s="36" t="s">
        <v>354</v>
      </c>
      <c r="F30" s="37" t="s">
        <v>355</v>
      </c>
      <c r="G30" s="38"/>
      <c r="H30" s="39" t="s">
        <v>356</v>
      </c>
    </row>
    <row r="31" spans="1:8" x14ac:dyDescent="0.25">
      <c r="A31" s="37" t="s">
        <v>311</v>
      </c>
      <c r="B31" s="33"/>
      <c r="C31" s="40"/>
      <c r="D31" s="35" t="s">
        <v>357</v>
      </c>
      <c r="E31" s="36" t="s">
        <v>358</v>
      </c>
      <c r="F31" s="37" t="s">
        <v>359</v>
      </c>
      <c r="G31" s="38"/>
      <c r="H31" s="39" t="s">
        <v>360</v>
      </c>
    </row>
    <row r="32" spans="1:8" x14ac:dyDescent="0.25">
      <c r="A32" s="38" t="s">
        <v>314</v>
      </c>
      <c r="B32" s="33"/>
      <c r="C32" s="40"/>
      <c r="D32" s="35"/>
      <c r="E32" s="36"/>
      <c r="F32" s="37"/>
      <c r="G32" s="38"/>
      <c r="H32" s="39"/>
    </row>
    <row r="33" spans="1:8" x14ac:dyDescent="0.25">
      <c r="A33" s="39" t="s">
        <v>315</v>
      </c>
      <c r="B33" s="33"/>
      <c r="C33" s="40"/>
      <c r="D33" s="35"/>
      <c r="E33" s="36"/>
      <c r="F33" s="37"/>
      <c r="G33" s="38"/>
      <c r="H33" s="39"/>
    </row>
    <row r="34" spans="1:8" x14ac:dyDescent="0.25">
      <c r="A34" s="41"/>
      <c r="B34" s="41"/>
      <c r="C34" s="41"/>
      <c r="D34" s="41"/>
      <c r="E34" s="41"/>
      <c r="F34" s="41"/>
      <c r="G34" s="41"/>
      <c r="H34" s="41"/>
    </row>
  </sheetData>
  <pageMargins left="0.7" right="0.7" top="0.75" bottom="0.75" header="0.3" footer="0.3"/>
  <pageSetup orientation="portrait" horizontalDpi="360" verticalDpi="36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STOCK</vt:lpstr>
      <vt:lpstr>ENTRADAS</vt:lpstr>
      <vt:lpstr>SALIDAS</vt:lpstr>
      <vt:lpstr>Hoja2</vt:lpstr>
      <vt:lpstr>CATEGORIAS</vt:lpstr>
      <vt:lpstr>CTRL</vt:lpstr>
      <vt:lpstr>ELECTRICIDAD</vt:lpstr>
      <vt:lpstr>ESPECIAL</vt:lpstr>
      <vt:lpstr>GENERAL</vt:lpstr>
      <vt:lpstr>MECANICO</vt:lpstr>
      <vt:lpstr>SERVICIOS</vt:lpstr>
      <vt:lpstr>SOLDADURA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Neidi Juárez</dc:creator>
  <cp:lastModifiedBy>Neidi Juárez</cp:lastModifiedBy>
  <dcterms:created xsi:type="dcterms:W3CDTF">2025-12-04T17:55:19Z</dcterms:created>
  <dcterms:modified xsi:type="dcterms:W3CDTF">2026-03-20T21:01:35Z</dcterms:modified>
</cp:coreProperties>
</file>